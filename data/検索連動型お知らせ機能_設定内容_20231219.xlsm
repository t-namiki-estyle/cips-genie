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efiles\伊藤忠エンタープライズ検索\b_現状資料\30_運用手順書\運用手順書\01_検索連動型お知らせ機能（ピン止め機能）\"/>
    </mc:Choice>
  </mc:AlternateContent>
  <xr:revisionPtr revIDLastSave="0" documentId="8_{A4061195-9765-48ED-8E3F-B9C7AA257F5A}" xr6:coauthVersionLast="47" xr6:coauthVersionMax="47" xr10:uidLastSave="{00000000-0000-0000-0000-000000000000}"/>
  <bookViews>
    <workbookView xWindow="-120" yWindow="-120" windowWidth="29040" windowHeight="15840" firstSheet="3" activeTab="6" xr2:uid="{47044EA1-3289-4CAF-91BD-17E52987D783}"/>
  </bookViews>
  <sheets>
    <sheet name="手順" sheetId="1" r:id="rId1"/>
    <sheet name="キーワード精査ルール" sheetId="3" r:id="rId2"/>
    <sheet name="output.tsv貼り付け" sheetId="2" r:id="rId3"/>
    <sheet name="キーワード重複確認" sheetId="4" r:id="rId4"/>
    <sheet name="advertisement.tsv編集" sheetId="7" r:id="rId5"/>
    <sheet name="おしらせ表示順" sheetId="9" r:id="rId6"/>
    <sheet name="「検索連動型お知らせ機能」設定内容（本番）" sheetId="10" r:id="rId7"/>
    <sheet name="「検索連動型お知らせ機能」設定内容（検証）" sheetId="11" r:id="rId8"/>
  </sheets>
  <definedNames>
    <definedName name="_xlnm._FilterDatabase" localSheetId="2" hidden="1">output.tsv貼り付け!$A$1:$F$561</definedName>
    <definedName name="_xlnm._FilterDatabase" localSheetId="3" hidden="1">キーワード重複確認!$A$1:$G$414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179" i="7" l="1"/>
  <c r="S179" i="7"/>
  <c r="T179" i="7"/>
  <c r="U179" i="7"/>
  <c r="V179" i="7"/>
  <c r="W179" i="7"/>
  <c r="X179" i="7"/>
  <c r="P179" i="7"/>
  <c r="Q179" i="7" s="1"/>
  <c r="X178" i="7"/>
  <c r="W178" i="7"/>
  <c r="V178" i="7"/>
  <c r="U178" i="7"/>
  <c r="T178" i="7"/>
  <c r="S178" i="7"/>
  <c r="R178" i="7"/>
  <c r="P178" i="7"/>
  <c r="Q178" i="7" s="1"/>
  <c r="X177" i="7"/>
  <c r="W177" i="7"/>
  <c r="V177" i="7"/>
  <c r="U177" i="7"/>
  <c r="T177" i="7"/>
  <c r="S177" i="7"/>
  <c r="R177" i="7"/>
  <c r="P177" i="7"/>
  <c r="Q177" i="7" s="1"/>
  <c r="X176" i="7"/>
  <c r="W176" i="7"/>
  <c r="V176" i="7"/>
  <c r="U176" i="7"/>
  <c r="T176" i="7"/>
  <c r="S176" i="7"/>
  <c r="R176" i="7"/>
  <c r="P176" i="7"/>
  <c r="Q176" i="7" s="1"/>
  <c r="X175" i="7"/>
  <c r="W175" i="7"/>
  <c r="V175" i="7"/>
  <c r="U175" i="7"/>
  <c r="T175" i="7"/>
  <c r="S175" i="7"/>
  <c r="R175" i="7"/>
  <c r="P175" i="7"/>
  <c r="Q175" i="7" s="1"/>
  <c r="X174" i="7"/>
  <c r="W174" i="7"/>
  <c r="V174" i="7"/>
  <c r="U174" i="7"/>
  <c r="T174" i="7"/>
  <c r="S174" i="7"/>
  <c r="R174" i="7"/>
  <c r="P174" i="7"/>
  <c r="Q174" i="7" s="1"/>
  <c r="X173" i="7"/>
  <c r="W173" i="7"/>
  <c r="V173" i="7"/>
  <c r="U173" i="7"/>
  <c r="T173" i="7"/>
  <c r="S173" i="7"/>
  <c r="R173" i="7"/>
  <c r="P173" i="7"/>
  <c r="Q173" i="7" s="1"/>
  <c r="X172" i="7"/>
  <c r="W172" i="7"/>
  <c r="V172" i="7"/>
  <c r="U172" i="7"/>
  <c r="T172" i="7"/>
  <c r="S172" i="7"/>
  <c r="R172" i="7"/>
  <c r="P172" i="7"/>
  <c r="Q172" i="7" s="1"/>
  <c r="X171" i="7"/>
  <c r="W171" i="7"/>
  <c r="V171" i="7"/>
  <c r="U171" i="7"/>
  <c r="T171" i="7"/>
  <c r="S171" i="7"/>
  <c r="R171" i="7"/>
  <c r="P171" i="7"/>
  <c r="Q171" i="7" s="1"/>
  <c r="X170" i="7"/>
  <c r="W170" i="7"/>
  <c r="V170" i="7"/>
  <c r="U170" i="7"/>
  <c r="T170" i="7"/>
  <c r="S170" i="7"/>
  <c r="R170" i="7"/>
  <c r="P170" i="7"/>
  <c r="Q170" i="7" s="1"/>
  <c r="X169" i="7"/>
  <c r="W169" i="7"/>
  <c r="V169" i="7"/>
  <c r="U169" i="7"/>
  <c r="T169" i="7"/>
  <c r="S169" i="7"/>
  <c r="R169" i="7"/>
  <c r="P169" i="7"/>
  <c r="Q169" i="7" s="1"/>
  <c r="X168" i="7"/>
  <c r="W168" i="7"/>
  <c r="V168" i="7"/>
  <c r="U168" i="7"/>
  <c r="T168" i="7"/>
  <c r="S168" i="7"/>
  <c r="R168" i="7"/>
  <c r="P168" i="7"/>
  <c r="Q168" i="7" s="1"/>
  <c r="X167" i="7"/>
  <c r="W167" i="7"/>
  <c r="V167" i="7"/>
  <c r="U167" i="7"/>
  <c r="T167" i="7"/>
  <c r="S167" i="7"/>
  <c r="R167" i="7"/>
  <c r="P167" i="7"/>
  <c r="Q167" i="7" s="1"/>
  <c r="X166" i="7"/>
  <c r="W166" i="7"/>
  <c r="V166" i="7"/>
  <c r="U166" i="7"/>
  <c r="T166" i="7"/>
  <c r="S166" i="7"/>
  <c r="R166" i="7"/>
  <c r="P166" i="7"/>
  <c r="Q166" i="7" s="1"/>
  <c r="X165" i="7"/>
  <c r="W165" i="7"/>
  <c r="V165" i="7"/>
  <c r="U165" i="7"/>
  <c r="T165" i="7"/>
  <c r="S165" i="7"/>
  <c r="R165" i="7"/>
  <c r="P165" i="7"/>
  <c r="Q165" i="7" s="1"/>
  <c r="X164" i="7"/>
  <c r="W164" i="7"/>
  <c r="V164" i="7"/>
  <c r="U164" i="7"/>
  <c r="T164" i="7"/>
  <c r="S164" i="7"/>
  <c r="R164" i="7"/>
  <c r="P164" i="7"/>
  <c r="Q164" i="7" s="1"/>
  <c r="X163" i="7"/>
  <c r="W163" i="7"/>
  <c r="V163" i="7"/>
  <c r="U163" i="7"/>
  <c r="T163" i="7"/>
  <c r="S163" i="7"/>
  <c r="R163" i="7"/>
  <c r="P163" i="7"/>
  <c r="Q163" i="7" s="1"/>
  <c r="X162" i="7"/>
  <c r="W162" i="7"/>
  <c r="V162" i="7"/>
  <c r="U162" i="7"/>
  <c r="T162" i="7"/>
  <c r="S162" i="7"/>
  <c r="R162" i="7"/>
  <c r="P162" i="7"/>
  <c r="Q162" i="7" s="1"/>
  <c r="X161" i="7"/>
  <c r="W161" i="7"/>
  <c r="V161" i="7"/>
  <c r="U161" i="7"/>
  <c r="T161" i="7"/>
  <c r="S161" i="7"/>
  <c r="R161" i="7"/>
  <c r="P161" i="7"/>
  <c r="Q161" i="7" s="1"/>
  <c r="X160" i="7"/>
  <c r="W160" i="7"/>
  <c r="V160" i="7"/>
  <c r="U160" i="7"/>
  <c r="T160" i="7"/>
  <c r="S160" i="7"/>
  <c r="R160" i="7"/>
  <c r="P160" i="7"/>
  <c r="Q160" i="7" s="1"/>
  <c r="X159" i="7"/>
  <c r="W159" i="7"/>
  <c r="V159" i="7"/>
  <c r="U159" i="7"/>
  <c r="T159" i="7"/>
  <c r="S159" i="7"/>
  <c r="R159" i="7"/>
  <c r="Q159" i="7"/>
  <c r="P159" i="7"/>
  <c r="X158" i="7"/>
  <c r="W158" i="7"/>
  <c r="V158" i="7"/>
  <c r="U158" i="7"/>
  <c r="T158" i="7"/>
  <c r="S158" i="7"/>
  <c r="R158" i="7"/>
  <c r="P158" i="7"/>
  <c r="Q158" i="7" s="1"/>
  <c r="X157" i="7"/>
  <c r="W157" i="7"/>
  <c r="V157" i="7"/>
  <c r="U157" i="7"/>
  <c r="T157" i="7"/>
  <c r="S157" i="7"/>
  <c r="R157" i="7"/>
  <c r="P157" i="7"/>
  <c r="Q157" i="7" s="1"/>
  <c r="X156" i="7"/>
  <c r="W156" i="7"/>
  <c r="V156" i="7"/>
  <c r="U156" i="7"/>
  <c r="T156" i="7"/>
  <c r="S156" i="7"/>
  <c r="R156" i="7"/>
  <c r="P156" i="7"/>
  <c r="Q156" i="7" s="1"/>
  <c r="X155" i="7"/>
  <c r="W155" i="7"/>
  <c r="V155" i="7"/>
  <c r="U155" i="7"/>
  <c r="T155" i="7"/>
  <c r="S155" i="7"/>
  <c r="R155" i="7"/>
  <c r="Q155" i="7"/>
  <c r="P155" i="7"/>
  <c r="X154" i="7"/>
  <c r="W154" i="7"/>
  <c r="V154" i="7"/>
  <c r="U154" i="7"/>
  <c r="T154" i="7"/>
  <c r="S154" i="7"/>
  <c r="R154" i="7"/>
  <c r="P154" i="7"/>
  <c r="Q154" i="7" s="1"/>
  <c r="X153" i="7"/>
  <c r="W153" i="7"/>
  <c r="V153" i="7"/>
  <c r="U153" i="7"/>
  <c r="T153" i="7"/>
  <c r="S153" i="7"/>
  <c r="R153" i="7"/>
  <c r="P153" i="7"/>
  <c r="Q153" i="7" s="1"/>
  <c r="X152" i="7"/>
  <c r="W152" i="7"/>
  <c r="V152" i="7"/>
  <c r="U152" i="7"/>
  <c r="T152" i="7"/>
  <c r="S152" i="7"/>
  <c r="R152" i="7"/>
  <c r="P152" i="7"/>
  <c r="Q152" i="7" s="1"/>
  <c r="X151" i="7"/>
  <c r="W151" i="7"/>
  <c r="V151" i="7"/>
  <c r="U151" i="7"/>
  <c r="T151" i="7"/>
  <c r="S151" i="7"/>
  <c r="R151" i="7"/>
  <c r="Q151" i="7"/>
  <c r="P151" i="7"/>
  <c r="X150" i="7"/>
  <c r="W150" i="7"/>
  <c r="V150" i="7"/>
  <c r="U150" i="7"/>
  <c r="T150" i="7"/>
  <c r="S150" i="7"/>
  <c r="R150" i="7"/>
  <c r="Q150" i="7"/>
  <c r="P150" i="7"/>
  <c r="X149" i="7"/>
  <c r="W149" i="7"/>
  <c r="V149" i="7"/>
  <c r="U149" i="7"/>
  <c r="T149" i="7"/>
  <c r="S149" i="7"/>
  <c r="R149" i="7"/>
  <c r="Q149" i="7"/>
  <c r="P149" i="7"/>
  <c r="X148" i="7"/>
  <c r="W148" i="7"/>
  <c r="V148" i="7"/>
  <c r="U148" i="7"/>
  <c r="T148" i="7"/>
  <c r="S148" i="7"/>
  <c r="R148" i="7"/>
  <c r="Q148" i="7"/>
  <c r="P148" i="7"/>
  <c r="X147" i="7"/>
  <c r="W147" i="7"/>
  <c r="V147" i="7"/>
  <c r="U147" i="7"/>
  <c r="T147" i="7"/>
  <c r="S147" i="7"/>
  <c r="R147" i="7"/>
  <c r="P147" i="7"/>
  <c r="Q147" i="7" s="1"/>
  <c r="X146" i="7"/>
  <c r="W146" i="7"/>
  <c r="V146" i="7"/>
  <c r="U146" i="7"/>
  <c r="T146" i="7"/>
  <c r="S146" i="7"/>
  <c r="R146" i="7"/>
  <c r="P146" i="7"/>
  <c r="Q146" i="7" s="1"/>
  <c r="X145" i="7"/>
  <c r="W145" i="7"/>
  <c r="V145" i="7"/>
  <c r="U145" i="7"/>
  <c r="T145" i="7"/>
  <c r="S145" i="7"/>
  <c r="R145" i="7"/>
  <c r="P145" i="7"/>
  <c r="Q145" i="7" s="1"/>
  <c r="X144" i="7"/>
  <c r="W144" i="7"/>
  <c r="V144" i="7"/>
  <c r="U144" i="7"/>
  <c r="T144" i="7"/>
  <c r="S144" i="7"/>
  <c r="R144" i="7"/>
  <c r="P144" i="7"/>
  <c r="Q144" i="7" s="1"/>
  <c r="X143" i="7"/>
  <c r="W143" i="7"/>
  <c r="V143" i="7"/>
  <c r="U143" i="7"/>
  <c r="T143" i="7"/>
  <c r="S143" i="7"/>
  <c r="R143" i="7"/>
  <c r="P143" i="7"/>
  <c r="Q143" i="7" s="1"/>
  <c r="X142" i="7"/>
  <c r="W142" i="7"/>
  <c r="V142" i="7"/>
  <c r="U142" i="7"/>
  <c r="T142" i="7"/>
  <c r="S142" i="7"/>
  <c r="R142" i="7"/>
  <c r="P142" i="7"/>
  <c r="Q142" i="7" s="1"/>
  <c r="X141" i="7"/>
  <c r="W141" i="7"/>
  <c r="V141" i="7"/>
  <c r="U141" i="7"/>
  <c r="T141" i="7"/>
  <c r="S141" i="7"/>
  <c r="R141" i="7"/>
  <c r="P141" i="7"/>
  <c r="Q141" i="7" s="1"/>
  <c r="X140" i="7"/>
  <c r="W140" i="7"/>
  <c r="V140" i="7"/>
  <c r="U140" i="7"/>
  <c r="T140" i="7"/>
  <c r="S140" i="7"/>
  <c r="R140" i="7"/>
  <c r="P140" i="7"/>
  <c r="Q140" i="7" s="1"/>
  <c r="X139" i="7"/>
  <c r="W139" i="7"/>
  <c r="V139" i="7"/>
  <c r="U139" i="7"/>
  <c r="T139" i="7"/>
  <c r="S139" i="7"/>
  <c r="R139" i="7"/>
  <c r="Q139" i="7"/>
  <c r="P139" i="7"/>
  <c r="X138" i="7"/>
  <c r="W138" i="7"/>
  <c r="V138" i="7"/>
  <c r="U138" i="7"/>
  <c r="T138" i="7"/>
  <c r="S138" i="7"/>
  <c r="R138" i="7"/>
  <c r="Q138" i="7"/>
  <c r="P138" i="7"/>
  <c r="X137" i="7"/>
  <c r="W137" i="7"/>
  <c r="V137" i="7"/>
  <c r="U137" i="7"/>
  <c r="T137" i="7"/>
  <c r="S137" i="7"/>
  <c r="R137" i="7"/>
  <c r="Q137" i="7"/>
  <c r="P137" i="7"/>
  <c r="X136" i="7"/>
  <c r="W136" i="7"/>
  <c r="V136" i="7"/>
  <c r="U136" i="7"/>
  <c r="T136" i="7"/>
  <c r="S136" i="7"/>
  <c r="R136" i="7"/>
  <c r="Q136" i="7"/>
  <c r="P136" i="7"/>
  <c r="X135" i="7"/>
  <c r="W135" i="7"/>
  <c r="V135" i="7"/>
  <c r="U135" i="7"/>
  <c r="T135" i="7"/>
  <c r="S135" i="7"/>
  <c r="R135" i="7"/>
  <c r="Q135" i="7"/>
  <c r="P135" i="7"/>
  <c r="X134" i="7"/>
  <c r="W134" i="7"/>
  <c r="V134" i="7"/>
  <c r="U134" i="7"/>
  <c r="T134" i="7"/>
  <c r="S134" i="7"/>
  <c r="R134" i="7"/>
  <c r="P134" i="7"/>
  <c r="Q134" i="7" s="1"/>
  <c r="X133" i="7"/>
  <c r="W133" i="7"/>
  <c r="V133" i="7"/>
  <c r="U133" i="7"/>
  <c r="T133" i="7"/>
  <c r="S133" i="7"/>
  <c r="R133" i="7"/>
  <c r="P133" i="7"/>
  <c r="Q133" i="7" s="1"/>
  <c r="X132" i="7"/>
  <c r="W132" i="7"/>
  <c r="V132" i="7"/>
  <c r="U132" i="7"/>
  <c r="T132" i="7"/>
  <c r="S132" i="7"/>
  <c r="R132" i="7"/>
  <c r="P132" i="7"/>
  <c r="Q132" i="7" s="1"/>
  <c r="X131" i="7"/>
  <c r="W131" i="7"/>
  <c r="V131" i="7"/>
  <c r="U131" i="7"/>
  <c r="T131" i="7"/>
  <c r="S131" i="7"/>
  <c r="R131" i="7"/>
  <c r="P131" i="7"/>
  <c r="Q131" i="7" s="1"/>
  <c r="X130" i="7"/>
  <c r="W130" i="7"/>
  <c r="V130" i="7"/>
  <c r="U130" i="7"/>
  <c r="T130" i="7"/>
  <c r="S130" i="7"/>
  <c r="R130" i="7"/>
  <c r="Q130" i="7"/>
  <c r="P130" i="7"/>
  <c r="X129" i="7"/>
  <c r="W129" i="7"/>
  <c r="V129" i="7"/>
  <c r="U129" i="7"/>
  <c r="T129" i="7"/>
  <c r="S129" i="7"/>
  <c r="R129" i="7"/>
  <c r="P129" i="7"/>
  <c r="Q129" i="7" s="1"/>
  <c r="X128" i="7"/>
  <c r="W128" i="7"/>
  <c r="V128" i="7"/>
  <c r="U128" i="7"/>
  <c r="T128" i="7"/>
  <c r="S128" i="7"/>
  <c r="R128" i="7"/>
  <c r="P128" i="7"/>
  <c r="Q128" i="7" s="1"/>
  <c r="X127" i="7"/>
  <c r="W127" i="7"/>
  <c r="V127" i="7"/>
  <c r="U127" i="7"/>
  <c r="T127" i="7"/>
  <c r="S127" i="7"/>
  <c r="R127" i="7"/>
  <c r="P127" i="7"/>
  <c r="Q127" i="7" s="1"/>
  <c r="X126" i="7"/>
  <c r="W126" i="7"/>
  <c r="V126" i="7"/>
  <c r="U126" i="7"/>
  <c r="T126" i="7"/>
  <c r="S126" i="7"/>
  <c r="R126" i="7"/>
  <c r="P126" i="7"/>
  <c r="Q126" i="7" s="1"/>
  <c r="X125" i="7"/>
  <c r="W125" i="7"/>
  <c r="V125" i="7"/>
  <c r="U125" i="7"/>
  <c r="T125" i="7"/>
  <c r="S125" i="7"/>
  <c r="R125" i="7"/>
  <c r="P125" i="7"/>
  <c r="Q125" i="7" s="1"/>
  <c r="X124" i="7"/>
  <c r="W124" i="7"/>
  <c r="V124" i="7"/>
  <c r="U124" i="7"/>
  <c r="T124" i="7"/>
  <c r="S124" i="7"/>
  <c r="R124" i="7"/>
  <c r="P124" i="7"/>
  <c r="Q124" i="7" s="1"/>
  <c r="X123" i="7"/>
  <c r="W123" i="7"/>
  <c r="V123" i="7"/>
  <c r="U123" i="7"/>
  <c r="T123" i="7"/>
  <c r="S123" i="7"/>
  <c r="R123" i="7"/>
  <c r="P123" i="7"/>
  <c r="Q123" i="7" s="1"/>
  <c r="X122" i="7"/>
  <c r="W122" i="7"/>
  <c r="V122" i="7"/>
  <c r="U122" i="7"/>
  <c r="T122" i="7"/>
  <c r="S122" i="7"/>
  <c r="R122" i="7"/>
  <c r="Q122" i="7"/>
  <c r="P122" i="7"/>
  <c r="X121" i="7"/>
  <c r="W121" i="7"/>
  <c r="V121" i="7"/>
  <c r="U121" i="7"/>
  <c r="T121" i="7"/>
  <c r="S121" i="7"/>
  <c r="R121" i="7"/>
  <c r="P121" i="7"/>
  <c r="Q121" i="7" s="1"/>
  <c r="X120" i="7"/>
  <c r="W120" i="7"/>
  <c r="V120" i="7"/>
  <c r="U120" i="7"/>
  <c r="T120" i="7"/>
  <c r="S120" i="7"/>
  <c r="R120" i="7"/>
  <c r="P120" i="7"/>
  <c r="Q120" i="7" s="1"/>
  <c r="X119" i="7"/>
  <c r="W119" i="7"/>
  <c r="V119" i="7"/>
  <c r="U119" i="7"/>
  <c r="T119" i="7"/>
  <c r="S119" i="7"/>
  <c r="R119" i="7"/>
  <c r="P119" i="7"/>
  <c r="Q119" i="7" s="1"/>
  <c r="X118" i="7"/>
  <c r="W118" i="7"/>
  <c r="V118" i="7"/>
  <c r="U118" i="7"/>
  <c r="T118" i="7"/>
  <c r="S118" i="7"/>
  <c r="R118" i="7"/>
  <c r="Q118" i="7"/>
  <c r="P118" i="7"/>
  <c r="X117" i="7"/>
  <c r="W117" i="7"/>
  <c r="V117" i="7"/>
  <c r="U117" i="7"/>
  <c r="T117" i="7"/>
  <c r="S117" i="7"/>
  <c r="R117" i="7"/>
  <c r="P117" i="7"/>
  <c r="Q117" i="7" s="1"/>
  <c r="X116" i="7"/>
  <c r="W116" i="7"/>
  <c r="V116" i="7"/>
  <c r="U116" i="7"/>
  <c r="T116" i="7"/>
  <c r="S116" i="7"/>
  <c r="R116" i="7"/>
  <c r="P116" i="7"/>
  <c r="Q116" i="7" s="1"/>
  <c r="X115" i="7"/>
  <c r="W115" i="7"/>
  <c r="V115" i="7"/>
  <c r="U115" i="7"/>
  <c r="T115" i="7"/>
  <c r="S115" i="7"/>
  <c r="R115" i="7"/>
  <c r="P115" i="7"/>
  <c r="Q115" i="7" s="1"/>
  <c r="X114" i="7"/>
  <c r="W114" i="7"/>
  <c r="V114" i="7"/>
  <c r="U114" i="7"/>
  <c r="T114" i="7"/>
  <c r="S114" i="7"/>
  <c r="R114" i="7"/>
  <c r="P114" i="7"/>
  <c r="Q114" i="7" s="1"/>
  <c r="X113" i="7"/>
  <c r="W113" i="7"/>
  <c r="V113" i="7"/>
  <c r="U113" i="7"/>
  <c r="T113" i="7"/>
  <c r="S113" i="7"/>
  <c r="R113" i="7"/>
  <c r="Q113" i="7"/>
  <c r="P113" i="7"/>
  <c r="X112" i="7"/>
  <c r="W112" i="7"/>
  <c r="V112" i="7"/>
  <c r="U112" i="7"/>
  <c r="T112" i="7"/>
  <c r="S112" i="7"/>
  <c r="R112" i="7"/>
  <c r="P112" i="7"/>
  <c r="Q112" i="7" s="1"/>
  <c r="X111" i="7"/>
  <c r="W111" i="7"/>
  <c r="V111" i="7"/>
  <c r="U111" i="7"/>
  <c r="T111" i="7"/>
  <c r="S111" i="7"/>
  <c r="R111" i="7"/>
  <c r="P111" i="7"/>
  <c r="Q111" i="7" s="1"/>
  <c r="X110" i="7"/>
  <c r="W110" i="7"/>
  <c r="V110" i="7"/>
  <c r="U110" i="7"/>
  <c r="T110" i="7"/>
  <c r="S110" i="7"/>
  <c r="R110" i="7"/>
  <c r="P110" i="7"/>
  <c r="Q110" i="7" s="1"/>
  <c r="X109" i="7"/>
  <c r="W109" i="7"/>
  <c r="V109" i="7"/>
  <c r="U109" i="7"/>
  <c r="T109" i="7"/>
  <c r="S109" i="7"/>
  <c r="R109" i="7"/>
  <c r="P109" i="7"/>
  <c r="Q109" i="7" s="1"/>
  <c r="X108" i="7"/>
  <c r="W108" i="7"/>
  <c r="V108" i="7"/>
  <c r="U108" i="7"/>
  <c r="T108" i="7"/>
  <c r="S108" i="7"/>
  <c r="R108" i="7"/>
  <c r="P108" i="7"/>
  <c r="Q108" i="7" s="1"/>
  <c r="X107" i="7"/>
  <c r="W107" i="7"/>
  <c r="V107" i="7"/>
  <c r="U107" i="7"/>
  <c r="T107" i="7"/>
  <c r="S107" i="7"/>
  <c r="R107" i="7"/>
  <c r="P107" i="7"/>
  <c r="Q107" i="7" s="1"/>
  <c r="X106" i="7"/>
  <c r="W106" i="7"/>
  <c r="V106" i="7"/>
  <c r="U106" i="7"/>
  <c r="T106" i="7"/>
  <c r="S106" i="7"/>
  <c r="R106" i="7"/>
  <c r="P106" i="7"/>
  <c r="Q106" i="7" s="1"/>
  <c r="X105" i="7"/>
  <c r="W105" i="7"/>
  <c r="V105" i="7"/>
  <c r="U105" i="7"/>
  <c r="T105" i="7"/>
  <c r="S105" i="7"/>
  <c r="R105" i="7"/>
  <c r="P105" i="7"/>
  <c r="Q105" i="7" s="1"/>
  <c r="X104" i="7"/>
  <c r="W104" i="7"/>
  <c r="V104" i="7"/>
  <c r="U104" i="7"/>
  <c r="T104" i="7"/>
  <c r="S104" i="7"/>
  <c r="R104" i="7"/>
  <c r="P104" i="7"/>
  <c r="Q104" i="7" s="1"/>
  <c r="X103" i="7"/>
  <c r="W103" i="7"/>
  <c r="V103" i="7"/>
  <c r="U103" i="7"/>
  <c r="T103" i="7"/>
  <c r="S103" i="7"/>
  <c r="R103" i="7"/>
  <c r="P103" i="7"/>
  <c r="Q103" i="7" s="1"/>
  <c r="X102" i="7"/>
  <c r="W102" i="7"/>
  <c r="V102" i="7"/>
  <c r="U102" i="7"/>
  <c r="T102" i="7"/>
  <c r="S102" i="7"/>
  <c r="R102" i="7"/>
  <c r="P102" i="7"/>
  <c r="Q102" i="7" s="1"/>
  <c r="X101" i="7"/>
  <c r="W101" i="7"/>
  <c r="V101" i="7"/>
  <c r="U101" i="7"/>
  <c r="T101" i="7"/>
  <c r="S101" i="7"/>
  <c r="R101" i="7"/>
  <c r="P101" i="7"/>
  <c r="Q101" i="7" s="1"/>
  <c r="X100" i="7"/>
  <c r="W100" i="7"/>
  <c r="V100" i="7"/>
  <c r="U100" i="7"/>
  <c r="T100" i="7"/>
  <c r="S100" i="7"/>
  <c r="R100" i="7"/>
  <c r="P100" i="7"/>
  <c r="Q100" i="7" s="1"/>
  <c r="X99" i="7"/>
  <c r="W99" i="7"/>
  <c r="V99" i="7"/>
  <c r="U99" i="7"/>
  <c r="T99" i="7"/>
  <c r="S99" i="7"/>
  <c r="R99" i="7"/>
  <c r="P99" i="7"/>
  <c r="Q99" i="7" s="1"/>
  <c r="X98" i="7"/>
  <c r="W98" i="7"/>
  <c r="V98" i="7"/>
  <c r="U98" i="7"/>
  <c r="T98" i="7"/>
  <c r="S98" i="7"/>
  <c r="R98" i="7"/>
  <c r="P98" i="7"/>
  <c r="Q98" i="7" s="1"/>
  <c r="X97" i="7"/>
  <c r="W97" i="7"/>
  <c r="V97" i="7"/>
  <c r="U97" i="7"/>
  <c r="T97" i="7"/>
  <c r="S97" i="7"/>
  <c r="R97" i="7"/>
  <c r="P97" i="7"/>
  <c r="Q97" i="7" s="1"/>
  <c r="X96" i="7"/>
  <c r="W96" i="7"/>
  <c r="V96" i="7"/>
  <c r="U96" i="7"/>
  <c r="T96" i="7"/>
  <c r="S96" i="7"/>
  <c r="R96" i="7"/>
  <c r="P96" i="7"/>
  <c r="Q96" i="7" s="1"/>
  <c r="X95" i="7"/>
  <c r="W95" i="7"/>
  <c r="V95" i="7"/>
  <c r="U95" i="7"/>
  <c r="T95" i="7"/>
  <c r="S95" i="7"/>
  <c r="R95" i="7"/>
  <c r="P95" i="7"/>
  <c r="Q95" i="7" s="1"/>
  <c r="X94" i="7"/>
  <c r="W94" i="7"/>
  <c r="V94" i="7"/>
  <c r="U94" i="7"/>
  <c r="T94" i="7"/>
  <c r="S94" i="7"/>
  <c r="R94" i="7"/>
  <c r="P94" i="7"/>
  <c r="Q94" i="7" s="1"/>
  <c r="X93" i="7"/>
  <c r="W93" i="7"/>
  <c r="V93" i="7"/>
  <c r="U93" i="7"/>
  <c r="T93" i="7"/>
  <c r="S93" i="7"/>
  <c r="R93" i="7"/>
  <c r="P93" i="7"/>
  <c r="Q93" i="7" s="1"/>
  <c r="X92" i="7"/>
  <c r="W92" i="7"/>
  <c r="V92" i="7"/>
  <c r="U92" i="7"/>
  <c r="T92" i="7"/>
  <c r="S92" i="7"/>
  <c r="R92" i="7"/>
  <c r="P92" i="7"/>
  <c r="Q92" i="7" s="1"/>
  <c r="X91" i="7"/>
  <c r="W91" i="7"/>
  <c r="V91" i="7"/>
  <c r="U91" i="7"/>
  <c r="T91" i="7"/>
  <c r="S91" i="7"/>
  <c r="R91" i="7"/>
  <c r="P91" i="7"/>
  <c r="Q91" i="7" s="1"/>
  <c r="X90" i="7"/>
  <c r="W90" i="7"/>
  <c r="V90" i="7"/>
  <c r="U90" i="7"/>
  <c r="T90" i="7"/>
  <c r="S90" i="7"/>
  <c r="R90" i="7"/>
  <c r="P90" i="7"/>
  <c r="Q90" i="7" s="1"/>
  <c r="X89" i="7"/>
  <c r="W89" i="7"/>
  <c r="V89" i="7"/>
  <c r="U89" i="7"/>
  <c r="T89" i="7"/>
  <c r="S89" i="7"/>
  <c r="R89" i="7"/>
  <c r="P89" i="7"/>
  <c r="Q89" i="7" s="1"/>
  <c r="X88" i="7"/>
  <c r="W88" i="7"/>
  <c r="V88" i="7"/>
  <c r="U88" i="7"/>
  <c r="T88" i="7"/>
  <c r="S88" i="7"/>
  <c r="R88" i="7"/>
  <c r="P88" i="7"/>
  <c r="Q88" i="7" s="1"/>
  <c r="X87" i="7"/>
  <c r="W87" i="7"/>
  <c r="V87" i="7"/>
  <c r="U87" i="7"/>
  <c r="T87" i="7"/>
  <c r="S87" i="7"/>
  <c r="R87" i="7"/>
  <c r="P87" i="7"/>
  <c r="Q87" i="7" s="1"/>
  <c r="X86" i="7"/>
  <c r="W86" i="7"/>
  <c r="V86" i="7"/>
  <c r="U86" i="7"/>
  <c r="T86" i="7"/>
  <c r="S86" i="7"/>
  <c r="R86" i="7"/>
  <c r="P86" i="7"/>
  <c r="Q86" i="7" s="1"/>
  <c r="X85" i="7"/>
  <c r="W85" i="7"/>
  <c r="V85" i="7"/>
  <c r="U85" i="7"/>
  <c r="T85" i="7"/>
  <c r="S85" i="7"/>
  <c r="R85" i="7"/>
  <c r="P85" i="7"/>
  <c r="Q85" i="7" s="1"/>
  <c r="X84" i="7"/>
  <c r="W84" i="7"/>
  <c r="V84" i="7"/>
  <c r="U84" i="7"/>
  <c r="T84" i="7"/>
  <c r="S84" i="7"/>
  <c r="R84" i="7"/>
  <c r="P84" i="7"/>
  <c r="Q84" i="7" s="1"/>
  <c r="X83" i="7"/>
  <c r="W83" i="7"/>
  <c r="V83" i="7"/>
  <c r="U83" i="7"/>
  <c r="T83" i="7"/>
  <c r="S83" i="7"/>
  <c r="R83" i="7"/>
  <c r="P83" i="7"/>
  <c r="Q83" i="7" s="1"/>
  <c r="X82" i="7"/>
  <c r="W82" i="7"/>
  <c r="V82" i="7"/>
  <c r="U82" i="7"/>
  <c r="T82" i="7"/>
  <c r="S82" i="7"/>
  <c r="R82" i="7"/>
  <c r="P82" i="7"/>
  <c r="Q82" i="7" s="1"/>
  <c r="X81" i="7"/>
  <c r="W81" i="7"/>
  <c r="V81" i="7"/>
  <c r="U81" i="7"/>
  <c r="T81" i="7"/>
  <c r="S81" i="7"/>
  <c r="R81" i="7"/>
  <c r="P81" i="7"/>
  <c r="Q81" i="7" s="1"/>
  <c r="X80" i="7"/>
  <c r="W80" i="7"/>
  <c r="V80" i="7"/>
  <c r="U80" i="7"/>
  <c r="T80" i="7"/>
  <c r="S80" i="7"/>
  <c r="R80" i="7"/>
  <c r="P80" i="7"/>
  <c r="Q80" i="7" s="1"/>
  <c r="X79" i="7"/>
  <c r="W79" i="7"/>
  <c r="V79" i="7"/>
  <c r="U79" i="7"/>
  <c r="T79" i="7"/>
  <c r="S79" i="7"/>
  <c r="R79" i="7"/>
  <c r="P79" i="7"/>
  <c r="Q79" i="7" s="1"/>
  <c r="X78" i="7"/>
  <c r="W78" i="7"/>
  <c r="V78" i="7"/>
  <c r="U78" i="7"/>
  <c r="T78" i="7"/>
  <c r="S78" i="7"/>
  <c r="R78" i="7"/>
  <c r="Q78" i="7"/>
  <c r="P78" i="7"/>
  <c r="X77" i="7"/>
  <c r="W77" i="7"/>
  <c r="V77" i="7"/>
  <c r="U77" i="7"/>
  <c r="T77" i="7"/>
  <c r="S77" i="7"/>
  <c r="R77" i="7"/>
  <c r="P77" i="7"/>
  <c r="Q77" i="7" s="1"/>
  <c r="X76" i="7"/>
  <c r="W76" i="7"/>
  <c r="V76" i="7"/>
  <c r="U76" i="7"/>
  <c r="T76" i="7"/>
  <c r="S76" i="7"/>
  <c r="R76" i="7"/>
  <c r="P76" i="7"/>
  <c r="Q76" i="7" s="1"/>
  <c r="X75" i="7"/>
  <c r="W75" i="7"/>
  <c r="V75" i="7"/>
  <c r="U75" i="7"/>
  <c r="T75" i="7"/>
  <c r="S75" i="7"/>
  <c r="R75" i="7"/>
  <c r="P75" i="7"/>
  <c r="Q75" i="7" s="1"/>
  <c r="X74" i="7"/>
  <c r="W74" i="7"/>
  <c r="V74" i="7"/>
  <c r="U74" i="7"/>
  <c r="T74" i="7"/>
  <c r="S74" i="7"/>
  <c r="R74" i="7"/>
  <c r="P74" i="7"/>
  <c r="Q74" i="7" s="1"/>
  <c r="X73" i="7"/>
  <c r="W73" i="7"/>
  <c r="V73" i="7"/>
  <c r="U73" i="7"/>
  <c r="T73" i="7"/>
  <c r="S73" i="7"/>
  <c r="R73" i="7"/>
  <c r="P73" i="7"/>
  <c r="Q73" i="7" s="1"/>
  <c r="X72" i="7"/>
  <c r="W72" i="7"/>
  <c r="V72" i="7"/>
  <c r="U72" i="7"/>
  <c r="T72" i="7"/>
  <c r="S72" i="7"/>
  <c r="R72" i="7"/>
  <c r="P72" i="7"/>
  <c r="Q72" i="7" s="1"/>
  <c r="X71" i="7"/>
  <c r="W71" i="7"/>
  <c r="V71" i="7"/>
  <c r="U71" i="7"/>
  <c r="T71" i="7"/>
  <c r="S71" i="7"/>
  <c r="R71" i="7"/>
  <c r="P71" i="7"/>
  <c r="Q71" i="7" s="1"/>
  <c r="X70" i="7"/>
  <c r="W70" i="7"/>
  <c r="V70" i="7"/>
  <c r="U70" i="7"/>
  <c r="T70" i="7"/>
  <c r="S70" i="7"/>
  <c r="R70" i="7"/>
  <c r="P70" i="7"/>
  <c r="Q70" i="7" s="1"/>
  <c r="X69" i="7"/>
  <c r="W69" i="7"/>
  <c r="V69" i="7"/>
  <c r="U69" i="7"/>
  <c r="T69" i="7"/>
  <c r="S69" i="7"/>
  <c r="R69" i="7"/>
  <c r="P69" i="7"/>
  <c r="Q69" i="7" s="1"/>
  <c r="X68" i="7"/>
  <c r="W68" i="7"/>
  <c r="V68" i="7"/>
  <c r="U68" i="7"/>
  <c r="T68" i="7"/>
  <c r="S68" i="7"/>
  <c r="R68" i="7"/>
  <c r="Q68" i="7"/>
  <c r="P68" i="7"/>
  <c r="X67" i="7"/>
  <c r="W67" i="7"/>
  <c r="V67" i="7"/>
  <c r="U67" i="7"/>
  <c r="T67" i="7"/>
  <c r="S67" i="7"/>
  <c r="R67" i="7"/>
  <c r="P67" i="7"/>
  <c r="Q67" i="7" s="1"/>
  <c r="X66" i="7"/>
  <c r="W66" i="7"/>
  <c r="V66" i="7"/>
  <c r="U66" i="7"/>
  <c r="T66" i="7"/>
  <c r="S66" i="7"/>
  <c r="R66" i="7"/>
  <c r="P66" i="7"/>
  <c r="Q66" i="7" s="1"/>
  <c r="X65" i="7"/>
  <c r="W65" i="7"/>
  <c r="V65" i="7"/>
  <c r="U65" i="7"/>
  <c r="T65" i="7"/>
  <c r="S65" i="7"/>
  <c r="R65" i="7"/>
  <c r="P65" i="7"/>
  <c r="Q65" i="7" s="1"/>
  <c r="X64" i="7"/>
  <c r="W64" i="7"/>
  <c r="V64" i="7"/>
  <c r="U64" i="7"/>
  <c r="T64" i="7"/>
  <c r="S64" i="7"/>
  <c r="R64" i="7"/>
  <c r="P64" i="7"/>
  <c r="Q64" i="7" s="1"/>
  <c r="X63" i="7"/>
  <c r="W63" i="7"/>
  <c r="V63" i="7"/>
  <c r="U63" i="7"/>
  <c r="T63" i="7"/>
  <c r="S63" i="7"/>
  <c r="R63" i="7"/>
  <c r="P63" i="7"/>
  <c r="Q63" i="7" s="1"/>
  <c r="X62" i="7"/>
  <c r="W62" i="7"/>
  <c r="V62" i="7"/>
  <c r="U62" i="7"/>
  <c r="T62" i="7"/>
  <c r="S62" i="7"/>
  <c r="R62" i="7"/>
  <c r="P62" i="7"/>
  <c r="Q62" i="7" s="1"/>
  <c r="X61" i="7"/>
  <c r="W61" i="7"/>
  <c r="V61" i="7"/>
  <c r="U61" i="7"/>
  <c r="T61" i="7"/>
  <c r="S61" i="7"/>
  <c r="R61" i="7"/>
  <c r="P61" i="7"/>
  <c r="Q61" i="7" s="1"/>
  <c r="X60" i="7"/>
  <c r="W60" i="7"/>
  <c r="V60" i="7"/>
  <c r="U60" i="7"/>
  <c r="T60" i="7"/>
  <c r="S60" i="7"/>
  <c r="R60" i="7"/>
  <c r="P60" i="7"/>
  <c r="Q60" i="7" s="1"/>
  <c r="X59" i="7"/>
  <c r="W59" i="7"/>
  <c r="V59" i="7"/>
  <c r="U59" i="7"/>
  <c r="T59" i="7"/>
  <c r="S59" i="7"/>
  <c r="R59" i="7"/>
  <c r="P59" i="7"/>
  <c r="Q59" i="7" s="1"/>
  <c r="X58" i="7"/>
  <c r="W58" i="7"/>
  <c r="V58" i="7"/>
  <c r="U58" i="7"/>
  <c r="T58" i="7"/>
  <c r="S58" i="7"/>
  <c r="R58" i="7"/>
  <c r="Q58" i="7"/>
  <c r="P58" i="7"/>
  <c r="X57" i="7"/>
  <c r="W57" i="7"/>
  <c r="V57" i="7"/>
  <c r="U57" i="7"/>
  <c r="T57" i="7"/>
  <c r="S57" i="7"/>
  <c r="R57" i="7"/>
  <c r="P57" i="7"/>
  <c r="Q57" i="7" s="1"/>
  <c r="X56" i="7"/>
  <c r="W56" i="7"/>
  <c r="V56" i="7"/>
  <c r="U56" i="7"/>
  <c r="T56" i="7"/>
  <c r="S56" i="7"/>
  <c r="R56" i="7"/>
  <c r="P56" i="7"/>
  <c r="Q56" i="7" s="1"/>
  <c r="X55" i="7"/>
  <c r="W55" i="7"/>
  <c r="V55" i="7"/>
  <c r="U55" i="7"/>
  <c r="T55" i="7"/>
  <c r="S55" i="7"/>
  <c r="R55" i="7"/>
  <c r="P55" i="7"/>
  <c r="Q55" i="7" s="1"/>
  <c r="X54" i="7"/>
  <c r="W54" i="7"/>
  <c r="V54" i="7"/>
  <c r="U54" i="7"/>
  <c r="T54" i="7"/>
  <c r="S54" i="7"/>
  <c r="R54" i="7"/>
  <c r="P54" i="7"/>
  <c r="Q54" i="7" s="1"/>
  <c r="X53" i="7"/>
  <c r="W53" i="7"/>
  <c r="V53" i="7"/>
  <c r="U53" i="7"/>
  <c r="T53" i="7"/>
  <c r="S53" i="7"/>
  <c r="R53" i="7"/>
  <c r="P53" i="7"/>
  <c r="Q53" i="7" s="1"/>
  <c r="X52" i="7"/>
  <c r="W52" i="7"/>
  <c r="V52" i="7"/>
  <c r="U52" i="7"/>
  <c r="T52" i="7"/>
  <c r="S52" i="7"/>
  <c r="R52" i="7"/>
  <c r="P52" i="7"/>
  <c r="Q52" i="7" s="1"/>
  <c r="X51" i="7"/>
  <c r="W51" i="7"/>
  <c r="V51" i="7"/>
  <c r="U51" i="7"/>
  <c r="T51" i="7"/>
  <c r="S51" i="7"/>
  <c r="R51" i="7"/>
  <c r="P51" i="7"/>
  <c r="Q51" i="7" s="1"/>
  <c r="X50" i="7"/>
  <c r="W50" i="7"/>
  <c r="V50" i="7"/>
  <c r="U50" i="7"/>
  <c r="T50" i="7"/>
  <c r="S50" i="7"/>
  <c r="R50" i="7"/>
  <c r="P50" i="7"/>
  <c r="Q50" i="7" s="1"/>
  <c r="X49" i="7"/>
  <c r="W49" i="7"/>
  <c r="V49" i="7"/>
  <c r="U49" i="7"/>
  <c r="T49" i="7"/>
  <c r="S49" i="7"/>
  <c r="R49" i="7"/>
  <c r="P49" i="7"/>
  <c r="Q49" i="7" s="1"/>
  <c r="X48" i="7"/>
  <c r="W48" i="7"/>
  <c r="V48" i="7"/>
  <c r="U48" i="7"/>
  <c r="T48" i="7"/>
  <c r="S48" i="7"/>
  <c r="R48" i="7"/>
  <c r="P48" i="7"/>
  <c r="Q48" i="7" s="1"/>
  <c r="X47" i="7"/>
  <c r="W47" i="7"/>
  <c r="V47" i="7"/>
  <c r="U47" i="7"/>
  <c r="T47" i="7"/>
  <c r="S47" i="7"/>
  <c r="R47" i="7"/>
  <c r="P47" i="7"/>
  <c r="Q47" i="7" s="1"/>
  <c r="X46" i="7"/>
  <c r="W46" i="7"/>
  <c r="V46" i="7"/>
  <c r="U46" i="7"/>
  <c r="T46" i="7"/>
  <c r="S46" i="7"/>
  <c r="R46" i="7"/>
  <c r="P46" i="7"/>
  <c r="Q46" i="7" s="1"/>
  <c r="X45" i="7"/>
  <c r="W45" i="7"/>
  <c r="V45" i="7"/>
  <c r="U45" i="7"/>
  <c r="T45" i="7"/>
  <c r="S45" i="7"/>
  <c r="R45" i="7"/>
  <c r="P45" i="7"/>
  <c r="Q45" i="7" s="1"/>
  <c r="X44" i="7"/>
  <c r="W44" i="7"/>
  <c r="V44" i="7"/>
  <c r="U44" i="7"/>
  <c r="T44" i="7"/>
  <c r="S44" i="7"/>
  <c r="R44" i="7"/>
  <c r="P44" i="7"/>
  <c r="Q44" i="7" s="1"/>
  <c r="X43" i="7"/>
  <c r="W43" i="7"/>
  <c r="V43" i="7"/>
  <c r="U43" i="7"/>
  <c r="T43" i="7"/>
  <c r="S43" i="7"/>
  <c r="R43" i="7"/>
  <c r="P43" i="7"/>
  <c r="Q43" i="7" s="1"/>
  <c r="X42" i="7"/>
  <c r="W42" i="7"/>
  <c r="V42" i="7"/>
  <c r="U42" i="7"/>
  <c r="T42" i="7"/>
  <c r="S42" i="7"/>
  <c r="R42" i="7"/>
  <c r="P42" i="7"/>
  <c r="Q42" i="7" s="1"/>
  <c r="X41" i="7"/>
  <c r="W41" i="7"/>
  <c r="V41" i="7"/>
  <c r="U41" i="7"/>
  <c r="T41" i="7"/>
  <c r="S41" i="7"/>
  <c r="R41" i="7"/>
  <c r="P41" i="7"/>
  <c r="Q41" i="7" s="1"/>
  <c r="X40" i="7"/>
  <c r="W40" i="7"/>
  <c r="V40" i="7"/>
  <c r="U40" i="7"/>
  <c r="T40" i="7"/>
  <c r="S40" i="7"/>
  <c r="R40" i="7"/>
  <c r="P40" i="7"/>
  <c r="Q40" i="7" s="1"/>
  <c r="X39" i="7"/>
  <c r="W39" i="7"/>
  <c r="V39" i="7"/>
  <c r="U39" i="7"/>
  <c r="T39" i="7"/>
  <c r="S39" i="7"/>
  <c r="R39" i="7"/>
  <c r="P39" i="7"/>
  <c r="Q39" i="7" s="1"/>
  <c r="X38" i="7"/>
  <c r="W38" i="7"/>
  <c r="V38" i="7"/>
  <c r="U38" i="7"/>
  <c r="T38" i="7"/>
  <c r="S38" i="7"/>
  <c r="R38" i="7"/>
  <c r="P38" i="7"/>
  <c r="Q38" i="7" s="1"/>
  <c r="X37" i="7"/>
  <c r="W37" i="7"/>
  <c r="V37" i="7"/>
  <c r="U37" i="7"/>
  <c r="T37" i="7"/>
  <c r="S37" i="7"/>
  <c r="R37" i="7"/>
  <c r="P37" i="7"/>
  <c r="Q37" i="7" s="1"/>
  <c r="X36" i="7"/>
  <c r="W36" i="7"/>
  <c r="V36" i="7"/>
  <c r="U36" i="7"/>
  <c r="T36" i="7"/>
  <c r="S36" i="7"/>
  <c r="R36" i="7"/>
  <c r="P36" i="7"/>
  <c r="Q36" i="7" s="1"/>
  <c r="X35" i="7"/>
  <c r="W35" i="7"/>
  <c r="V35" i="7"/>
  <c r="U35" i="7"/>
  <c r="T35" i="7"/>
  <c r="S35" i="7"/>
  <c r="R35" i="7"/>
  <c r="Q35" i="7"/>
  <c r="P35" i="7"/>
  <c r="X34" i="7"/>
  <c r="W34" i="7"/>
  <c r="V34" i="7"/>
  <c r="U34" i="7"/>
  <c r="T34" i="7"/>
  <c r="S34" i="7"/>
  <c r="R34" i="7"/>
  <c r="P34" i="7"/>
  <c r="Q34" i="7" s="1"/>
  <c r="X33" i="7"/>
  <c r="W33" i="7"/>
  <c r="V33" i="7"/>
  <c r="U33" i="7"/>
  <c r="T33" i="7"/>
  <c r="S33" i="7"/>
  <c r="R33" i="7"/>
  <c r="P33" i="7"/>
  <c r="Q33" i="7" s="1"/>
  <c r="X32" i="7"/>
  <c r="W32" i="7"/>
  <c r="V32" i="7"/>
  <c r="U32" i="7"/>
  <c r="T32" i="7"/>
  <c r="S32" i="7"/>
  <c r="R32" i="7"/>
  <c r="Q32" i="7"/>
  <c r="P32" i="7"/>
  <c r="X31" i="7"/>
  <c r="W31" i="7"/>
  <c r="V31" i="7"/>
  <c r="U31" i="7"/>
  <c r="T31" i="7"/>
  <c r="S31" i="7"/>
  <c r="R31" i="7"/>
  <c r="Q31" i="7"/>
  <c r="P31" i="7"/>
  <c r="X30" i="7"/>
  <c r="W30" i="7"/>
  <c r="V30" i="7"/>
  <c r="U30" i="7"/>
  <c r="T30" i="7"/>
  <c r="S30" i="7"/>
  <c r="R30" i="7"/>
  <c r="Q30" i="7"/>
  <c r="P30" i="7"/>
  <c r="X29" i="7"/>
  <c r="W29" i="7"/>
  <c r="V29" i="7"/>
  <c r="U29" i="7"/>
  <c r="T29" i="7"/>
  <c r="S29" i="7"/>
  <c r="R29" i="7"/>
  <c r="P29" i="7"/>
  <c r="Q29" i="7" s="1"/>
  <c r="X28" i="7"/>
  <c r="W28" i="7"/>
  <c r="V28" i="7"/>
  <c r="U28" i="7"/>
  <c r="T28" i="7"/>
  <c r="S28" i="7"/>
  <c r="R28" i="7"/>
  <c r="P28" i="7"/>
  <c r="Q28" i="7" s="1"/>
  <c r="X27" i="7"/>
  <c r="W27" i="7"/>
  <c r="V27" i="7"/>
  <c r="U27" i="7"/>
  <c r="T27" i="7"/>
  <c r="S27" i="7"/>
  <c r="R27" i="7"/>
  <c r="P27" i="7"/>
  <c r="Q27" i="7" s="1"/>
  <c r="X26" i="7"/>
  <c r="W26" i="7"/>
  <c r="V26" i="7"/>
  <c r="U26" i="7"/>
  <c r="T26" i="7"/>
  <c r="S26" i="7"/>
  <c r="R26" i="7"/>
  <c r="Q26" i="7"/>
  <c r="P26" i="7"/>
  <c r="X25" i="7"/>
  <c r="W25" i="7"/>
  <c r="V25" i="7"/>
  <c r="U25" i="7"/>
  <c r="T25" i="7"/>
  <c r="S25" i="7"/>
  <c r="R25" i="7"/>
  <c r="P25" i="7"/>
  <c r="Q25" i="7" s="1"/>
  <c r="X24" i="7"/>
  <c r="W24" i="7"/>
  <c r="V24" i="7"/>
  <c r="U24" i="7"/>
  <c r="T24" i="7"/>
  <c r="S24" i="7"/>
  <c r="R24" i="7"/>
  <c r="P24" i="7"/>
  <c r="Q24" i="7" s="1"/>
  <c r="X23" i="7"/>
  <c r="W23" i="7"/>
  <c r="V23" i="7"/>
  <c r="U23" i="7"/>
  <c r="T23" i="7"/>
  <c r="S23" i="7"/>
  <c r="R23" i="7"/>
  <c r="Q23" i="7"/>
  <c r="P23" i="7"/>
  <c r="X22" i="7"/>
  <c r="W22" i="7"/>
  <c r="V22" i="7"/>
  <c r="U22" i="7"/>
  <c r="T22" i="7"/>
  <c r="S22" i="7"/>
  <c r="R22" i="7"/>
  <c r="P22" i="7"/>
  <c r="Q22" i="7" s="1"/>
  <c r="X21" i="7"/>
  <c r="W21" i="7"/>
  <c r="V21" i="7"/>
  <c r="U21" i="7"/>
  <c r="T21" i="7"/>
  <c r="S21" i="7"/>
  <c r="R21" i="7"/>
  <c r="P21" i="7"/>
  <c r="Q21" i="7" s="1"/>
  <c r="X20" i="7"/>
  <c r="W20" i="7"/>
  <c r="V20" i="7"/>
  <c r="U20" i="7"/>
  <c r="T20" i="7"/>
  <c r="S20" i="7"/>
  <c r="R20" i="7"/>
  <c r="Q20" i="7"/>
  <c r="P20" i="7"/>
  <c r="X19" i="7"/>
  <c r="W19" i="7"/>
  <c r="V19" i="7"/>
  <c r="U19" i="7"/>
  <c r="T19" i="7"/>
  <c r="S19" i="7"/>
  <c r="R19" i="7"/>
  <c r="P19" i="7"/>
  <c r="Q19" i="7" s="1"/>
  <c r="X18" i="7"/>
  <c r="W18" i="7"/>
  <c r="V18" i="7"/>
  <c r="U18" i="7"/>
  <c r="T18" i="7"/>
  <c r="S18" i="7"/>
  <c r="R18" i="7"/>
  <c r="Q18" i="7"/>
  <c r="P18" i="7"/>
  <c r="X17" i="7"/>
  <c r="W17" i="7"/>
  <c r="V17" i="7"/>
  <c r="U17" i="7"/>
  <c r="T17" i="7"/>
  <c r="S17" i="7"/>
  <c r="R17" i="7"/>
  <c r="Q17" i="7"/>
  <c r="P17" i="7"/>
  <c r="X16" i="7"/>
  <c r="W16" i="7"/>
  <c r="V16" i="7"/>
  <c r="U16" i="7"/>
  <c r="T16" i="7"/>
  <c r="S16" i="7"/>
  <c r="R16" i="7"/>
  <c r="P16" i="7"/>
  <c r="Q16" i="7" s="1"/>
  <c r="X15" i="7"/>
  <c r="W15" i="7"/>
  <c r="V15" i="7"/>
  <c r="U15" i="7"/>
  <c r="T15" i="7"/>
  <c r="S15" i="7"/>
  <c r="R15" i="7"/>
  <c r="P15" i="7"/>
  <c r="Q15" i="7" s="1"/>
  <c r="X14" i="7"/>
  <c r="W14" i="7"/>
  <c r="V14" i="7"/>
  <c r="U14" i="7"/>
  <c r="T14" i="7"/>
  <c r="S14" i="7"/>
  <c r="R14" i="7"/>
  <c r="P14" i="7"/>
  <c r="Q14" i="7" s="1"/>
  <c r="X13" i="7"/>
  <c r="W13" i="7"/>
  <c r="V13" i="7"/>
  <c r="U13" i="7"/>
  <c r="T13" i="7"/>
  <c r="S13" i="7"/>
  <c r="R13" i="7"/>
  <c r="Q13" i="7"/>
  <c r="P13" i="7"/>
  <c r="X12" i="7"/>
  <c r="W12" i="7"/>
  <c r="V12" i="7"/>
  <c r="U12" i="7"/>
  <c r="T12" i="7"/>
  <c r="S12" i="7"/>
  <c r="R12" i="7"/>
  <c r="Q12" i="7"/>
  <c r="P12" i="7"/>
  <c r="X11" i="7"/>
  <c r="W11" i="7"/>
  <c r="V11" i="7"/>
  <c r="U11" i="7"/>
  <c r="T11" i="7"/>
  <c r="S11" i="7"/>
  <c r="R11" i="7"/>
  <c r="Q11" i="7"/>
  <c r="P11" i="7"/>
  <c r="X10" i="7"/>
  <c r="W10" i="7"/>
  <c r="V10" i="7"/>
  <c r="U10" i="7"/>
  <c r="T10" i="7"/>
  <c r="S10" i="7"/>
  <c r="R10" i="7"/>
  <c r="Q10" i="7"/>
  <c r="P10" i="7"/>
  <c r="X9" i="7"/>
  <c r="W9" i="7"/>
  <c r="V9" i="7"/>
  <c r="U9" i="7"/>
  <c r="T9" i="7"/>
  <c r="S9" i="7"/>
  <c r="R9" i="7"/>
  <c r="P9" i="7"/>
  <c r="Q9" i="7" s="1"/>
  <c r="X8" i="7"/>
  <c r="W8" i="7"/>
  <c r="V8" i="7"/>
  <c r="U8" i="7"/>
  <c r="T8" i="7"/>
  <c r="S8" i="7"/>
  <c r="R8" i="7"/>
  <c r="P8" i="7"/>
  <c r="Q8" i="7" s="1"/>
  <c r="X7" i="7"/>
  <c r="W7" i="7"/>
  <c r="V7" i="7"/>
  <c r="U7" i="7"/>
  <c r="T7" i="7"/>
  <c r="S7" i="7"/>
  <c r="R7" i="7"/>
  <c r="P7" i="7"/>
  <c r="Q7" i="7" s="1"/>
  <c r="X6" i="7"/>
  <c r="W6" i="7"/>
  <c r="V6" i="7"/>
  <c r="U6" i="7"/>
  <c r="T6" i="7"/>
  <c r="S6" i="7"/>
  <c r="R6" i="7"/>
  <c r="P6" i="7"/>
  <c r="Q6" i="7" s="1"/>
  <c r="X5" i="7"/>
  <c r="W5" i="7"/>
  <c r="V5" i="7"/>
  <c r="U5" i="7"/>
  <c r="T5" i="7"/>
  <c r="S5" i="7"/>
  <c r="R5" i="7"/>
  <c r="P5" i="7"/>
  <c r="Q5" i="7" s="1"/>
</calcChain>
</file>

<file path=xl/sharedStrings.xml><?xml version="1.0" encoding="utf-8"?>
<sst xmlns="http://schemas.openxmlformats.org/spreadsheetml/2006/main" count="7024" uniqueCount="1717">
  <si>
    <t>Neuron サーバにアクセス</t>
    <phoneticPr fontId="1"/>
  </si>
  <si>
    <t>keyword</t>
  </si>
  <si>
    <t>priority</t>
  </si>
  <si>
    <t>title</t>
  </si>
  <si>
    <t>url</t>
  </si>
  <si>
    <t>id</t>
  </si>
  <si>
    <t>comment</t>
  </si>
  <si>
    <t>人達（人事・総務関連通達）</t>
  </si>
  <si>
    <t>https://itochucorp.sharepoint.com/sites/intra-tokpj_hr/Lists/List003/AllItems.aspx</t>
  </si>
  <si>
    <t>981d381d-01dc-4b65-b306-f2a5f5a34c7b</t>
  </si>
  <si>
    <t>110運動</t>
  </si>
  <si>
    <t>agile</t>
  </si>
  <si>
    <t>申請書ポータル ヘルプサイト</t>
  </si>
  <si>
    <t>https://itochucorp.sharepoint.com/sites/intra-tokgv-Shinseisho_Portal</t>
  </si>
  <si>
    <t>902566a9-2dd9-47c1-8063-6c7a47a59d52</t>
  </si>
  <si>
    <t>申請書ポータル</t>
  </si>
  <si>
    <t>https://itcawpw10.itochu.co.jp/AgileWorks/Broker/PicusSSO.Agent</t>
  </si>
  <si>
    <t>50947153-8073-4e01-af96-33d1efb63761</t>
  </si>
  <si>
    <t>agileworks</t>
  </si>
  <si>
    <t>制度一覧</t>
  </si>
  <si>
    <t>https://itochucorp.sharepoint.com/sites/intra-tokpj_hr/SitePages/seido/制度一覧.aspx</t>
  </si>
  <si>
    <t>2225d5f2-9a21-46f6-9952-42533df0ed26</t>
  </si>
  <si>
    <t>【通達】新型コロナウイルスへの対応</t>
  </si>
  <si>
    <t>https://itochucorp.sharepoint.com/sites/intra-tokpj_ga-bcp/Shared%20Documents/files/tsutatsu.pdf</t>
  </si>
  <si>
    <t>bc9c0502-fedc-487b-8794-e2989e152d7e</t>
  </si>
  <si>
    <t>https://itochucorp.sharepoint.com/sites/intra-tokpj_ga-bcp/SitePages/TopPage.aspx</t>
  </si>
  <si>
    <t>d17f1054-90db-4c04-a6ee-74da236be001</t>
  </si>
  <si>
    <t>box</t>
  </si>
  <si>
    <t>Box ヘルプサイト</t>
  </si>
  <si>
    <t>https://itochucorp.sharepoint.com/sites/intra-tokgv-box</t>
  </si>
  <si>
    <t>e2a7e90c-1542-4d86-98b4-6e53d0c802b5</t>
  </si>
  <si>
    <t>オフィスサービス</t>
  </si>
  <si>
    <t>https://itochucorp.sharepoint.com/sites/intra-tokpj_ga-office/SitePages/TopPage.aspx</t>
  </si>
  <si>
    <t>def16bb3-d5eb-4bb1-9ece-29f52631a9dc</t>
  </si>
  <si>
    <t>MyDHL+ ログイン</t>
  </si>
  <si>
    <t>https://mydhl.express.dhl/jp/ja/auth/login.html</t>
  </si>
  <si>
    <t>6e5d0136-3c94-4486-9e8b-7617c73c6d71</t>
  </si>
  <si>
    <t>DocuSign</t>
  </si>
  <si>
    <t>https://itochucorp.sharepoint.com/sites/intra-tokgv-DocuSign</t>
  </si>
  <si>
    <t>c18d8a3c-6b5e-48bc-a9cd-bdb9b9ece6c4</t>
  </si>
  <si>
    <t>安全保障管理室</t>
  </si>
  <si>
    <t>https://itochucorp.sharepoint.com/sites/intra-tokuw-tokok/SitePages/TopPage.aspx</t>
  </si>
  <si>
    <t>a9f034f6-395e-4b15-ba5f-2de55261bf82</t>
  </si>
  <si>
    <t>ECPシステム ログイン（社内）</t>
  </si>
  <si>
    <t>http://ecp.intra.itochu.co.jp/imart/home</t>
  </si>
  <si>
    <t>8530cf8b-5560-46c6-9fac-0d1e1efecafb</t>
  </si>
  <si>
    <t>ECPシステム ログイン（社外）</t>
  </si>
  <si>
    <t>https://ecp.itochu.co.jp/imart/certification</t>
  </si>
  <si>
    <t>7befb6fe-4009-4866-9c40-ba66c54590cb</t>
  </si>
  <si>
    <t>e-learning</t>
  </si>
  <si>
    <t>e-learning 制作・開講の流れ</t>
  </si>
  <si>
    <t>https://itochucorp.sharepoint.com/sites/intra-tokgv/system/SitePages/e-learning.aspx</t>
  </si>
  <si>
    <t>711eb3b1-7d97-4db3-b50e-c254146072a4</t>
  </si>
  <si>
    <t>e-learning ログイン</t>
  </si>
  <si>
    <t>https://itochucorp.sharepoint.com/sites/intra-e-learning/Shared%20Documents/TopPage.aspx</t>
  </si>
  <si>
    <t>00324601-4376-4b12-82fb-b86a8104503d</t>
  </si>
  <si>
    <t>esg</t>
  </si>
  <si>
    <t>サステナビリティ推進室イントラ</t>
  </si>
  <si>
    <t>https://itochucorp.sharepoint.com/sites/intra-tokcr/SitePages/TopPage.aspx</t>
  </si>
  <si>
    <t>b6dd69b7-7559-48f8-982b-5051de466deb</t>
  </si>
  <si>
    <t>ｅｓｇ</t>
  </si>
  <si>
    <t>eラーニング</t>
  </si>
  <si>
    <t>FX-Mail ヘルプサイト</t>
  </si>
  <si>
    <t>https://itochucorp.sharepoint.com/sites/extra-tokgq/SitePages/news/FX-Mail関連.aspx</t>
  </si>
  <si>
    <t>7127b198-4c16-43f2-8668-1bfc4aa34ee7</t>
  </si>
  <si>
    <t>fx-mail</t>
  </si>
  <si>
    <t>grade</t>
  </si>
  <si>
    <t>Guest Wi-Fi（※ゲストの方のみ利用可）</t>
  </si>
  <si>
    <t>https://itochucorp.sharepoint.com/sites/intra-tokgv/system/guest_wifi/Guest_Wi-Fi_Info.pdf</t>
  </si>
  <si>
    <t>83d766a9-fe4b-43da-9ff8-f7133332e29f</t>
  </si>
  <si>
    <t>hanabi</t>
  </si>
  <si>
    <t>HANABI ヘルプサイト</t>
  </si>
  <si>
    <t>http://hanabi.intra.itochu.co.jp/hanabi/top/</t>
  </si>
  <si>
    <t>6aed9c23-ec9a-4742-a342-3eb4cb36c807</t>
  </si>
  <si>
    <t>業務部 サイト</t>
  </si>
  <si>
    <t>https://itochucorp.sharepoint.com/sites/intra-tokoa/SitePages/TopPage.aspx</t>
  </si>
  <si>
    <t>9ead07bf-ec50-4e0e-9e7a-6252cf2a61bf</t>
  </si>
  <si>
    <t>ＩＤ統合管理システム FAQ</t>
  </si>
  <si>
    <t>http://sign.intra.itochu.co.jp/itcwf/menu/common/menu_sender/IDM_MI_FAQ</t>
  </si>
  <si>
    <t>ad2c1426-85d9-4c29-969b-3c63b1e145d0</t>
  </si>
  <si>
    <t>ＩＤ統合管理システム</t>
  </si>
  <si>
    <t>http://sign.intra.itochu.co.jp/itcwf/home</t>
  </si>
  <si>
    <t>41f269c0-d045-4994-87fb-008d7b0a6a0f</t>
  </si>
  <si>
    <t>iPad ヘルプサイト</t>
  </si>
  <si>
    <t>https://itochucorp.sharepoint.com/sites/intra-tokgv-ipad</t>
  </si>
  <si>
    <t>0f918f2c-626e-46c1-b2b2-aeada0998458</t>
  </si>
  <si>
    <t>i-STAR ログイン（社内）</t>
  </si>
  <si>
    <t>http://istar.intra.itochu.co.jp/istar</t>
  </si>
  <si>
    <t>381abd3a-04bb-4210-afd0-edc9ba0a00af</t>
  </si>
  <si>
    <t>i-STAR ログイン（グループ会社）</t>
  </si>
  <si>
    <t>https://istar.itochu.co.jp/</t>
  </si>
  <si>
    <t>7f94ccf7-2ed3-48c0-8a6d-1c845a12f89f</t>
  </si>
  <si>
    <t>i-STAR ヘルプサイト</t>
  </si>
  <si>
    <t>https://itochucorp.sharepoint.com/sites/intra-tokuw-tokei-trade/SitePages/istar-info.aspx</t>
  </si>
  <si>
    <t>ca7d2e33-0c3d-4817-8757-c877f174c0f3</t>
  </si>
  <si>
    <t>伊藤忠社員専用アプリ</t>
  </si>
  <si>
    <t>https://itochucorp.sharepoint.com/sites/intra-tokgv-system_help</t>
  </si>
  <si>
    <t>ec6226ec-d7a1-49a6-b3cc-31922256eb56</t>
  </si>
  <si>
    <t>i-trade</t>
  </si>
  <si>
    <t>I-TRADE ヘルプサイト</t>
  </si>
  <si>
    <t>https://itochucorp.sharepoint.com/sites/extra-tokrg/SitePages/I-TRADE.aspx</t>
  </si>
  <si>
    <t>4247154b-839f-4e74-9632-a729645cac8d</t>
  </si>
  <si>
    <t>jetfi</t>
  </si>
  <si>
    <t>海外用WiFiルータ 「jetfi」 サービス概要</t>
  </si>
  <si>
    <t>https://itochucorp.sharepoint.com/sites/intra-tokgv-jetfi_wifi</t>
  </si>
  <si>
    <t>294935e0-5aa5-4f57-92c4-d97f24072058</t>
  </si>
  <si>
    <t>LB</t>
  </si>
  <si>
    <t>育成・研修</t>
  </si>
  <si>
    <t>https://itochucorp.sharepoint.com/sites/intra-tokpj_hr-training/SitePages/TopPage.aspx</t>
  </si>
  <si>
    <t>c07e8b16-66ca-4a1e-9ffb-4e87716e4aec</t>
  </si>
  <si>
    <t>LB英語試験</t>
  </si>
  <si>
    <t>mbo</t>
  </si>
  <si>
    <t>MBOシステム（社内からのアクセス）</t>
  </si>
  <si>
    <t>https://hrportal.intra.itochu.co.jp/PORTAL/login.aspx</t>
  </si>
  <si>
    <t>15062cd3-8d44-4d8f-9117-79df1b4c1ef0</t>
  </si>
  <si>
    <t>MBOシステム（社外からのアクセス）</t>
  </si>
  <si>
    <t>https://hrportal.itochu.co.jp/PORTAL/login.aspx</t>
  </si>
  <si>
    <t>bcccf0ad-679d-4677-b122-c9b8d6569f69</t>
  </si>
  <si>
    <t>MHANA ヘルプサイト</t>
  </si>
  <si>
    <t>https://itochucorp.sharepoint.com/sites/intra-tokgv-MHANA/SitePages/m21h_index.aspx</t>
  </si>
  <si>
    <t>40f06a2b-5b96-4112-8d01-7aea70594593</t>
  </si>
  <si>
    <t>mission21</t>
  </si>
  <si>
    <t>OWA ログイン</t>
  </si>
  <si>
    <t>https://outlook.office365.com/intra.itochu.co.jp/</t>
  </si>
  <si>
    <t>458f701b-e974-4ff1-9406-c4ffa92cabf2</t>
  </si>
  <si>
    <t>owa</t>
  </si>
  <si>
    <t>OWA 操作手順</t>
  </si>
  <si>
    <t>https://itochucorp.sharepoint.com/sites/intra-tokgv/system/SitePages/mail_win10_settei.aspx#02</t>
  </si>
  <si>
    <t>2020fd05-6768-48d7-b64c-d9dc01f42ddf</t>
  </si>
  <si>
    <t>people</t>
  </si>
  <si>
    <t>PEOPLE 情報更新（個人情報、組織情報、管理者）</t>
  </si>
  <si>
    <t>https://itcrtkpw01.itochu.co.jp/main_frame</t>
  </si>
  <si>
    <t>c9cfe240-8f58-4bc3-aad5-036e47e230eb</t>
  </si>
  <si>
    <t>PEOPLE ヘルプサイト</t>
  </si>
  <si>
    <t>https://itochucorp.sharepoint.com/sites/intra-tokgv-people</t>
  </si>
  <si>
    <t>bb5dd4e9-4792-42c8-90de-eb8e043fe4a0</t>
  </si>
  <si>
    <t>PEOPLE</t>
  </si>
  <si>
    <t>https://launcher.myapps.microsoft.com/api/signin/332d51ad-8bcc-45cd-a240-711d59eac694?tenantId=3fc1ae5f-234b-4477-8c32-3767ca00fd4c</t>
  </si>
  <si>
    <t>abe78cd7-4081-44f8-b50e-92065ae9f568</t>
  </si>
  <si>
    <t>マイタブ／顔写真画像</t>
  </si>
  <si>
    <t>https://itochucorp.sharepoint.com/sites/intra-guideline/SitePages/マイタブ／顔写真画像.aspx</t>
  </si>
  <si>
    <t>e2b5d468-848a-4a91-958b-2754deecad2f</t>
  </si>
  <si>
    <t>rank</t>
  </si>
  <si>
    <t>RPA 関連ページ</t>
  </si>
  <si>
    <t>40b644fe-55e2-44ee-86fa-c27af850956a</t>
  </si>
  <si>
    <t>rv</t>
  </si>
  <si>
    <t>SPAIS ヘルプサイト（※RVは、SPAISに移行しました。）</t>
  </si>
  <si>
    <t>https://itochucorp.sharepoint.com/sites/intra-tokgv-spais/SitePages/TopPage.aspx</t>
  </si>
  <si>
    <t>466a0899-f526-4a0b-851b-e9126a7ef4df</t>
  </si>
  <si>
    <t>sansan</t>
  </si>
  <si>
    <t>SanSan ヘルプサイト</t>
  </si>
  <si>
    <t>https://itochucorp.sharepoint.com/sites/intra-tokgv-sansan</t>
  </si>
  <si>
    <t>bf8de741-6ae8-48d3-8dc8-2e465e68e501</t>
  </si>
  <si>
    <t>SanSan ログイン</t>
  </si>
  <si>
    <t>https://ap.sansan.com/v/saml2/itochu</t>
  </si>
  <si>
    <t>b59d0e2b-f877-492c-9127-5817cc0b1f13</t>
  </si>
  <si>
    <t>sdgs</t>
  </si>
  <si>
    <t>ｓｄｇｓ</t>
  </si>
  <si>
    <t>SkyPDF</t>
  </si>
  <si>
    <t>https://itochucorp.sharepoint.com/sites/intra-tokgv-SkyPDF</t>
  </si>
  <si>
    <t>8245b6c4-7a52-48b2-9dd4-935e5a991f8a</t>
  </si>
  <si>
    <t>skypdf</t>
  </si>
  <si>
    <t>spais</t>
  </si>
  <si>
    <t>SST</t>
  </si>
  <si>
    <t>stravis</t>
  </si>
  <si>
    <t>経理部 システム関連ページ</t>
  </si>
  <si>
    <t>https://itochucorp.sharepoint.com/sites/intra-tokgn/SitePages/システム関連.aspx</t>
  </si>
  <si>
    <t>67a14fdb-9358-427e-9090-b9de1ebfec03</t>
  </si>
  <si>
    <t>Teams ヘルプサイト</t>
  </si>
  <si>
    <t>https://itochucorp.sharepoint.com/sites/intra-tokgv-teams</t>
  </si>
  <si>
    <t>bea2149c-2f90-46f9-84a6-3235c1de56a2</t>
  </si>
  <si>
    <t>teams</t>
  </si>
  <si>
    <t>TOEIC</t>
  </si>
  <si>
    <t>TOEIC試験</t>
  </si>
  <si>
    <t>TSST</t>
  </si>
  <si>
    <t>TSST試験</t>
  </si>
  <si>
    <t>unicorn</t>
  </si>
  <si>
    <t>Unicornシステム TOPページ</t>
  </si>
  <si>
    <t>http://unicorn-ap/Pages/Default.aspx</t>
  </si>
  <si>
    <t>4bc95633-9db8-42c4-a9f4-233953b1de83</t>
  </si>
  <si>
    <t>vat</t>
  </si>
  <si>
    <t>海外店向け分与口銭に係る付加価値税の件</t>
  </si>
  <si>
    <t>https://itochucorp.sharepoint.com/sites/intra-tokgn/Lists/List007/DispForm.aspx?ID=9</t>
  </si>
  <si>
    <t>dbf307dd-35f4-4728-af5e-6fc0be40e1e4</t>
  </si>
  <si>
    <t>Webex Calling ヘルプサイト</t>
  </si>
  <si>
    <t>https://itochucorp.sharepoint.com/sites/intra-tokgv-WebexCalling</t>
  </si>
  <si>
    <t>885d9c3e-e558-4022-9b5c-310cdc66fa52</t>
  </si>
  <si>
    <t>wifi</t>
  </si>
  <si>
    <t>伊藤忠社内WiFi設定</t>
  </si>
  <si>
    <t>https://itochucorp.sharepoint.com/sites/intra-tokgv/system/SitePages/itochu_wifi.aspx</t>
  </si>
  <si>
    <t>3c11a22a-263d-4cb9-bd5d-2615ee68c0de</t>
  </si>
  <si>
    <t>wi-fi</t>
  </si>
  <si>
    <t>zoom</t>
  </si>
  <si>
    <t>Zoom ヘルプサイト</t>
  </si>
  <si>
    <t>https://itochucorp.sharepoint.com/sites/intra-tokgv-zoom</t>
  </si>
  <si>
    <t>91468486-5697-419c-8f76-c65aa4a87bcb</t>
  </si>
  <si>
    <t>オンデマンド印刷</t>
  </si>
  <si>
    <t>キャリア</t>
  </si>
  <si>
    <t>チャレンジ・キャリア制度 サイト</t>
  </si>
  <si>
    <t>993afac5-c102-47c3-83bc-8d943b959b9f</t>
  </si>
  <si>
    <t>キャリアビジョン</t>
  </si>
  <si>
    <t>キャリアビジョン支援研修</t>
  </si>
  <si>
    <t>コピ</t>
  </si>
  <si>
    <t>”コピー・プリントサービスのご案内（東京）”はこちら</t>
  </si>
  <si>
    <t>https://itochucorp.sharepoint.com/sites/extra-office/SitePages/cpc/コピー・プリントサービスのご案内（東京）.aspx</t>
  </si>
  <si>
    <t>298aeded-5796-41d0-b3a4-e479f2957735</t>
  </si>
  <si>
    <t>コピー</t>
  </si>
  <si>
    <t>コピーサービス</t>
  </si>
  <si>
    <t>コロナ</t>
  </si>
  <si>
    <t>コロナウィルス</t>
  </si>
  <si>
    <t>コロナウイルス</t>
  </si>
  <si>
    <t>コロナウィルスへの対応</t>
  </si>
  <si>
    <t>サイン</t>
  </si>
  <si>
    <t>サプライチェーン</t>
  </si>
  <si>
    <t>サポツ</t>
  </si>
  <si>
    <t>メーリングリスト作成・削除/管理者変更について</t>
  </si>
  <si>
    <t>https://itochucorp.sharepoint.com/sites/intra-tokgv/system/SitePages/mail_win10_shinsei.aspx#03</t>
  </si>
  <si>
    <t>27f2a0f1-f07b-4d22-a284-52dd4c06ab0a</t>
  </si>
  <si>
    <t>メールサポートツール ログイン</t>
  </si>
  <si>
    <t>https://mst.itochu.co.jp/MSS/login.aspx</t>
  </si>
  <si>
    <t>60119adf-9102-4671-9b57-a50b83e03fd5</t>
  </si>
  <si>
    <t>シンクラ</t>
  </si>
  <si>
    <t>シンクライアント ヘルプサイト</t>
  </si>
  <si>
    <t>https://itochucorp.sharepoint.com/sites/intra-tokgv-thinclient</t>
  </si>
  <si>
    <t>3e208209-fd5b-4faf-9bbc-8df5f1691c1b</t>
  </si>
  <si>
    <t>シンクライアント</t>
  </si>
  <si>
    <t>スカイpdf</t>
  </si>
  <si>
    <t>セコム安否確認</t>
  </si>
  <si>
    <t>”安否確認サービス　ログイン”はこちら</t>
  </si>
  <si>
    <t>https://itochucorp.sharepoint.com/sites/intra-tokpj_hr-anpi/SitePages/安否確認サービス.aspx</t>
  </si>
  <si>
    <t>7a16bc49-658c-4062-9c9a-2719ecbe32c3</t>
  </si>
  <si>
    <t>タイプ別仕訳分析表</t>
  </si>
  <si>
    <t>https://itochucorp.sharepoint.com/sites/intra-tokgn/Shared Documents/ren/manual/chohyo_kakuron2010.xlsb</t>
  </si>
  <si>
    <t>2957a84a-b5c8-4dbb-b082-63cc25bd129b</t>
  </si>
  <si>
    <t>チケット仮払い</t>
  </si>
  <si>
    <t>チャレンジ・キャリア</t>
  </si>
  <si>
    <t>チャレンジキャリア</t>
  </si>
  <si>
    <t>チャレンジキャリア制度</t>
  </si>
  <si>
    <t>デリバティブ</t>
  </si>
  <si>
    <t xml:space="preserve">デリバティブ取引に係る取扱い基準改訂の件 </t>
  </si>
  <si>
    <t>https://itochucorp.sharepoint.com/sites/intra-tokgn/Lists/List004/DispForm.aspx?ID=955</t>
  </si>
  <si>
    <t>c5800719-f4a8-4b23-8d03-35da18297a56</t>
  </si>
  <si>
    <t xml:space="preserve">現物商品に係るデリバティブ取引に関する留意事項について </t>
  </si>
  <si>
    <t>https://itochucorp.sharepoint.com/sites/intra-tokgn/Lists/List007/DispForm.aspx?ID=90</t>
  </si>
  <si>
    <t>5ddd8f45-67dc-4522-9224-031896748f46</t>
  </si>
  <si>
    <t>ドキュサイン</t>
  </si>
  <si>
    <t>どこでもLAN ヘルプサイト</t>
  </si>
  <si>
    <t>75586646-9c1f-42a5-83cf-340a3836eba4</t>
  </si>
  <si>
    <t>どこでも内線</t>
  </si>
  <si>
    <t>電話・FAX・どこでも内線 ヘルプサイト</t>
  </si>
  <si>
    <t>https://itochucorp.sharepoint.com/sites/intra-tokgv/system/SitePages/tel_index.aspx</t>
  </si>
  <si>
    <t>8714427c-17cc-488a-8641-c71c5370bbf0</t>
  </si>
  <si>
    <t>ノベルティ</t>
  </si>
  <si>
    <t>”社名入広告宣伝品リスト”はこちら</t>
  </si>
  <si>
    <t>https://itochucorp.sharepoint.com/sites/extra-office/SitePages/jimu/pub/社名入広告宣伝品リスト.aspx</t>
  </si>
  <si>
    <t>b0d3725a-4d89-48a7-a9cd-5902f75bf0c1</t>
  </si>
  <si>
    <t>バナナ</t>
  </si>
  <si>
    <t>朝型勤務に伴う軽食配布　利用のご案内</t>
  </si>
  <si>
    <t>https://itochucorp.sharepoint.com/sites/intra-tokpj_hr/D_LevelA3/jikan/朝型勤務に伴う軽食配布　利用のご案内.pdf</t>
  </si>
  <si>
    <t>0aaadc44-3a03-46b9-8f27-78da6e23bc52</t>
  </si>
  <si>
    <t>プリント</t>
  </si>
  <si>
    <t>プリントサービス</t>
  </si>
  <si>
    <t>べんりねっと</t>
  </si>
  <si>
    <t>”べんりねっと”はこちら</t>
  </si>
  <si>
    <t>https://itochucorp.sharepoint.com/sites/extra-office/SitePages/benri/べんりねっと.aspx</t>
  </si>
  <si>
    <t>16e6238c-cf57-45b8-a0d7-e78aabe3099e</t>
  </si>
  <si>
    <t>ボーナス</t>
  </si>
  <si>
    <t>https://itochucorp.sharepoint.com/sites/intra-tokpj_hr/D_LevelA3/setsumei/mbo_tebiki.pdf</t>
  </si>
  <si>
    <t>マイタブ</t>
  </si>
  <si>
    <t>マイナンバー</t>
  </si>
  <si>
    <t>メーリス</t>
  </si>
  <si>
    <t>メーリングリスト</t>
  </si>
  <si>
    <t>メールアドレス</t>
  </si>
  <si>
    <t>メールセンター</t>
  </si>
  <si>
    <t>メールサービス 問合せ先一覧</t>
  </si>
  <si>
    <t>https://itochucorp.sharepoint.com/sites/extra-office/SitePages/館内サービス.aspx#05</t>
  </si>
  <si>
    <t>4e8684c6-9e51-489b-a2d1-1346578645ee</t>
  </si>
  <si>
    <t>メール継続利用</t>
  </si>
  <si>
    <t>リンガスキル</t>
  </si>
  <si>
    <t>ロボット</t>
  </si>
  <si>
    <t>ワークフロー</t>
  </si>
  <si>
    <t>ワークフロー情報サイト</t>
  </si>
  <si>
    <t>91eb6de7-ede8-48d8-a098-5afb68f143c2</t>
  </si>
  <si>
    <t>ワークフローシステム</t>
  </si>
  <si>
    <t>http://workflow.intra.itochu.co.jp/itckd/home</t>
  </si>
  <si>
    <t>70be4461-a809-4d81-9456-8d9ece90fb19</t>
  </si>
  <si>
    <t>安否確認</t>
  </si>
  <si>
    <t>安否確認サービス</t>
  </si>
  <si>
    <t>安否確認サービス ログイン</t>
  </si>
  <si>
    <t>安否確認サービス　ログイン</t>
  </si>
  <si>
    <t>案件</t>
  </si>
  <si>
    <t>伊藤忠労働組合</t>
  </si>
  <si>
    <t>伊藤忠労働組合サイト ログイン</t>
  </si>
  <si>
    <t>https://ilu.or.jp/wp-login.php?redirect_to=https%3A%2F%2Filu.or.jp%2F&amp;reauth=1</t>
  </si>
  <si>
    <t>ead784c5-f354-4f1d-a360-0346d921e162</t>
  </si>
  <si>
    <t>委譲設定</t>
  </si>
  <si>
    <t>異動</t>
  </si>
  <si>
    <t>異動決定</t>
  </si>
  <si>
    <t>医療費</t>
  </si>
  <si>
    <t>育児</t>
  </si>
  <si>
    <t>育児関連</t>
  </si>
  <si>
    <t>https://itochucorp.sharepoint.com/sites/intra-tokpj_hr-child_support/SitePages/TopPage.aspx</t>
  </si>
  <si>
    <t>55e4565f-19f9-45d8-a025-85a28e3ce366</t>
  </si>
  <si>
    <t>育成</t>
  </si>
  <si>
    <t>英語試験</t>
  </si>
  <si>
    <t>延長申請</t>
  </si>
  <si>
    <t>岡藤</t>
  </si>
  <si>
    <t>岡藤社長トピックス</t>
  </si>
  <si>
    <t>https://itochucorp.sharepoint.com/sites/intra/SitePages/会長CEOトピックス.aspx</t>
  </si>
  <si>
    <t>5a8e459d-b446-4f93-803a-c77fe71d3527</t>
  </si>
  <si>
    <t>岡藤社長メッセージ</t>
  </si>
  <si>
    <t>https://itochucorp.sharepoint.com/sites/intra/SitePages/会長CEOメッセージ.aspx</t>
  </si>
  <si>
    <t>c6d9f18a-e10d-403b-a630-ba5ef7911fce</t>
  </si>
  <si>
    <t xml:space="preserve">岡藤社長メッセージ（2017年度以前） </t>
  </si>
  <si>
    <t>https://itochucorp.sharepoint.com/sites/intra/SitePages/岡藤社長メッセージ（2017年度以前）.aspx</t>
  </si>
  <si>
    <t>46a0f84c-d4c1-4783-bf42-40e42e6395dc</t>
  </si>
  <si>
    <t>岡藤会長</t>
  </si>
  <si>
    <t>会議室</t>
  </si>
  <si>
    <t>”設備予約トップページ”はこちら</t>
  </si>
  <si>
    <t>https://brs.itochu.co.jp/brs/ctrl/showEquipmentReservationList.do</t>
  </si>
  <si>
    <t>7b78ed87-9748-47c0-8352-12403daa3afe</t>
  </si>
  <si>
    <t>人事月報</t>
  </si>
  <si>
    <t>https://itochucorp.sharepoint.com/sites/intra-tokpj_hr/DocLib001/Forms/AllItems.aspx</t>
  </si>
  <si>
    <t>海外給与</t>
  </si>
  <si>
    <t>海外出張</t>
  </si>
  <si>
    <t>海外出張旅費</t>
  </si>
  <si>
    <t>海外出張旅費精算時に用いる換算レート及び関連する証憑書類について</t>
  </si>
  <si>
    <t>https://itochucorp.sharepoint.com/sites/intra-tokgn/Lists/List003/DispForm.aspx?ID=71</t>
  </si>
  <si>
    <t>ba6094f2-69f0-4ae8-bd45-31405378841d</t>
  </si>
  <si>
    <t>海外赴任</t>
  </si>
  <si>
    <t>海外赴任前</t>
  </si>
  <si>
    <t>海外赴任前研修</t>
  </si>
  <si>
    <t>海外旅費</t>
  </si>
  <si>
    <t>外国税額控除</t>
  </si>
  <si>
    <t>外国源泉所得税の処理について</t>
  </si>
  <si>
    <t>https://itochucorp.sharepoint.com/sites/intra-tokgn/Lists/List004/DispForm.aspx?ID=892</t>
  </si>
  <si>
    <t>7dcc77fb-4583-45f7-905f-a85f8fd8183b</t>
  </si>
  <si>
    <t>概況表</t>
  </si>
  <si>
    <t>事業会社概況表 サイト</t>
  </si>
  <si>
    <t>https://itcja01.itochu.co.jp/gaikyo/</t>
  </si>
  <si>
    <t>勘定科目</t>
  </si>
  <si>
    <t>勘定科目分類表</t>
  </si>
  <si>
    <t>https://itochucorp.sharepoint.com/sites/intra-tokgn/SitePages/tan/ac/勘定科目分類表.aspx</t>
  </si>
  <si>
    <t>d542b92f-9604-40c3-9988-e78aca6047e6</t>
  </si>
  <si>
    <t>基準</t>
  </si>
  <si>
    <t>規程・規則・基準 サイト</t>
  </si>
  <si>
    <t>https://itochucorp.sharepoint.com/sites/intra-tokpj_hr/SitePages/kitei/規程・規則・基準.aspx</t>
  </si>
  <si>
    <t>c97a36bd-47c7-4c96-83fa-eb068e9fb63a</t>
  </si>
  <si>
    <t>基礎コース</t>
  </si>
  <si>
    <t>期末換算レート</t>
  </si>
  <si>
    <t>https://itochucorp.sharepoint.com/sites/intra-tokgn/DocLib007/Forms/AllItems.aspx</t>
  </si>
  <si>
    <t>572ac3b2-9b5d-484b-9b86-3cd5fa72557d</t>
  </si>
  <si>
    <t>機構変更</t>
  </si>
  <si>
    <t>機変</t>
  </si>
  <si>
    <t>規程</t>
  </si>
  <si>
    <t>規約</t>
  </si>
  <si>
    <t>休み</t>
  </si>
  <si>
    <t>時間管理・朝型勤務</t>
  </si>
  <si>
    <t>https://itochucorp.sharepoint.com/sites/intra-tokpj_hr/SitePages/jikan/朝型勤務の進化（含む時間管理）.aspx</t>
  </si>
  <si>
    <t>38f7db03-62e2-4f56-953d-ea55be356193</t>
  </si>
  <si>
    <t>休暇</t>
  </si>
  <si>
    <t>給与</t>
  </si>
  <si>
    <t>給与明細 FAQ</t>
  </si>
  <si>
    <t>https://itochucorp.sharepoint.com/sites/intra-tokpj_hr-faq/SitePages/kyuyo/給与明細.aspx</t>
  </si>
  <si>
    <t>dbdaf259-01b6-40ad-b112-ede5a5954999</t>
  </si>
  <si>
    <t>人事関連トップページ</t>
  </si>
  <si>
    <t>https://itochucorp.sharepoint.com/sites/intra-tokpj_hr/SitePages/ホーム.aspx</t>
  </si>
  <si>
    <t>8883061f-2e61-494d-bb90-b461db5c2bff</t>
  </si>
  <si>
    <t>給与テーブル</t>
  </si>
  <si>
    <t>https://itochucorp.sharepoint.com/sites/intra-tokpj_hr/D_LevelA3/setsumei/kyuyotable.pdf</t>
  </si>
  <si>
    <t>e7cb9378-6958-4ffe-ad6e-399d939550c3</t>
  </si>
  <si>
    <t>給与明細</t>
  </si>
  <si>
    <t>教育</t>
  </si>
  <si>
    <t>勤務</t>
  </si>
  <si>
    <t>勤務簿</t>
  </si>
  <si>
    <t>契約書</t>
  </si>
  <si>
    <t>経費支払事後点検</t>
  </si>
  <si>
    <t>経費支払事後点検実施要領</t>
  </si>
  <si>
    <t>https://itochucorp.sharepoint.com/sites/intra-tokgn/Lists/List004/DispForm.aspx?ID=957</t>
  </si>
  <si>
    <t>64840476-0dd2-4fd0-8bf9-79731d248751</t>
  </si>
  <si>
    <t>経費精算</t>
  </si>
  <si>
    <t>軽食</t>
  </si>
  <si>
    <t>健康管理室</t>
  </si>
  <si>
    <t>健康管理室 サイト</t>
  </si>
  <si>
    <t>https://itochucorp.sharepoint.com/sites/intra-tokpj_hr-tokhz/SitePages/TopPage.aspx</t>
  </si>
  <si>
    <t>663807ba-91b9-4f35-bb4c-f32477df6086</t>
  </si>
  <si>
    <t>権限委譲</t>
  </si>
  <si>
    <t>研修</t>
  </si>
  <si>
    <t>研鑽</t>
  </si>
  <si>
    <t>源泉</t>
  </si>
  <si>
    <t>源泉徴収</t>
  </si>
  <si>
    <t>源泉徴収票</t>
  </si>
  <si>
    <t>源泉徴収表</t>
  </si>
  <si>
    <t>個人宛て</t>
  </si>
  <si>
    <t>個別システム</t>
  </si>
  <si>
    <t>交互計算勘定</t>
  </si>
  <si>
    <t>交互計算勘定制度に係る留意事項の件</t>
  </si>
  <si>
    <t>https://itochucorp.sharepoint.com/sites/intra-tokgn/Lists/List003/DispForm.aspx?ID=207</t>
  </si>
  <si>
    <t>b5dcadda-b4aa-4c90-a095-80e4b91893e8</t>
  </si>
  <si>
    <t>国内出張</t>
  </si>
  <si>
    <t>国内旅費</t>
  </si>
  <si>
    <t>在庫実査</t>
  </si>
  <si>
    <t>棚卸商品の在庫実査実施要領</t>
  </si>
  <si>
    <t>https://itochucorp.sharepoint.com/sites/intra-tokgn/Lists/List004/DispForm.aspx?ID=919</t>
  </si>
  <si>
    <t>4eead727-3bff-4ef6-9e06-51ac0bd19edd</t>
  </si>
  <si>
    <t>在宅勤務</t>
  </si>
  <si>
    <t>残高確認</t>
  </si>
  <si>
    <t>債権債務残高確認実施基準改訂の件</t>
  </si>
  <si>
    <t>https://itochucorp.sharepoint.com/sites/intra-tokgn/Lists/List004/DispForm.aspx?ID=937</t>
  </si>
  <si>
    <t>afe60f71-cf87-49f8-92d5-bc3398e74227</t>
  </si>
  <si>
    <t>市内交通費</t>
  </si>
  <si>
    <t>氏名変更</t>
  </si>
  <si>
    <t>私印</t>
  </si>
  <si>
    <t>電子署名・私印（電子契約・捺印）</t>
  </si>
  <si>
    <t>https://itochucorp.sharepoint.com/sites/intra-tokgv-denshi-shomei-shiin/SitePages/index.aspx</t>
  </si>
  <si>
    <t>080f9ba6-4fb6-49a5-8a97-d67017b69825</t>
  </si>
  <si>
    <t>資格取得届</t>
  </si>
  <si>
    <t>事業会社概況表</t>
  </si>
  <si>
    <t>事業会社区分</t>
  </si>
  <si>
    <t>連結対象会社</t>
  </si>
  <si>
    <t>https://itochucorp.sharepoint.com/sites/intra-tokgn/SitePages/ren/kaisha/連結対象会社.aspx</t>
  </si>
  <si>
    <t>11b69121-c241-458c-b769-30f7874fcd14</t>
  </si>
  <si>
    <t>事前申請</t>
  </si>
  <si>
    <t>事務用品</t>
  </si>
  <si>
    <t>持ち株</t>
  </si>
  <si>
    <t>持株会について</t>
  </si>
  <si>
    <t>https://itochucorp.sharepoint.com/sites/intra-tokpj_hr-faq/SitePages/kousei/持株会について.aspx</t>
  </si>
  <si>
    <t>6c353042-82dd-4a44-9116-95c2fe4261c8</t>
  </si>
  <si>
    <t>持ち株会</t>
  </si>
  <si>
    <t>持株</t>
  </si>
  <si>
    <t>持株会</t>
  </si>
  <si>
    <t>時間管理</t>
  </si>
  <si>
    <t>写真</t>
  </si>
  <si>
    <t>社員外ユーザー</t>
  </si>
  <si>
    <t>社員食堂</t>
  </si>
  <si>
    <t>社員食堂メニュー</t>
  </si>
  <si>
    <t>https://itochucorp.sharepoint.com/sites/extra-office/SitePages/社員食堂.aspx</t>
  </si>
  <si>
    <t>c51f4aa1-201e-4997-8f0c-1fa15ce89a5f</t>
  </si>
  <si>
    <t>社員寮</t>
  </si>
  <si>
    <t>福利厚生</t>
  </si>
  <si>
    <t>https://itochucorp.sharepoint.com/sites/intra-tokpj_hr/SitePages/welfare/福利厚生.aspx</t>
  </si>
  <si>
    <t>eb8e897f-fc80-40d4-a48a-3c12282c67af</t>
  </si>
  <si>
    <t>社会貢献</t>
  </si>
  <si>
    <t>社外情報リンク</t>
  </si>
  <si>
    <t>社外情報リンク サイト</t>
  </si>
  <si>
    <t>https://itochucorp.sharepoint.com/sites/intra-info/Lists/List001/AllItems.aspx</t>
  </si>
  <si>
    <t>973a2ed3-8e95-4b3d-9248-33885ad97fc6</t>
  </si>
  <si>
    <t>社食</t>
  </si>
  <si>
    <t>社宅</t>
  </si>
  <si>
    <t>社内負担金</t>
  </si>
  <si>
    <t>https://itochucorp.sharepoint.com/sites/intra-tokgn/Lists/List007/DispForm.aspx?ID=44</t>
  </si>
  <si>
    <t>d6c000fc-be71-4fa4-9ff9-a76928017cd1</t>
  </si>
  <si>
    <t>社内負担金制度について</t>
  </si>
  <si>
    <t>https://itochucorp.sharepoint.com/sites/intra-tokgn/Lists/List004/DispForm.aspx?ID=10</t>
  </si>
  <si>
    <t>2724d7fe-365e-476d-b7e5-b69a92e7ab02</t>
  </si>
  <si>
    <t>社内便</t>
  </si>
  <si>
    <t>社名入り</t>
  </si>
  <si>
    <t>社用印章</t>
  </si>
  <si>
    <t>”社用印章等の手続・管理に関するマニュアル”はこちら</t>
  </si>
  <si>
    <t>https://itochucorp.sharepoint.com/sites/intra-tokpj_ga/SitePages/rule/社用印章等の手続・管理に関するマニュアル.aspx</t>
  </si>
  <si>
    <t>d4b2128b-d248-4790-83ad-ac736bb2bc53</t>
  </si>
  <si>
    <t>社用印章マニュアル</t>
  </si>
  <si>
    <t>受講免除</t>
  </si>
  <si>
    <t>受取配当金</t>
  </si>
  <si>
    <t>国内受取配当金に係る社内税金還付方法の改訂</t>
  </si>
  <si>
    <t>https://itochucorp.sharepoint.com/sites/intra-tokgn/Lists/List004/DispForm.aspx?ID=14</t>
  </si>
  <si>
    <t>1f9958a6-a6f0-4eb0-aca2-3f2e05e8d9a8</t>
  </si>
  <si>
    <t>受付</t>
  </si>
  <si>
    <t>”来客予約トップページ”はこちら</t>
  </si>
  <si>
    <t>https://brs.itochu.co.jp/brs/ctrl/showVisitorReservationList.do</t>
  </si>
  <si>
    <t>2fb8589c-1926-4b6e-b9c5-d62135dff748</t>
  </si>
  <si>
    <t>収入印紙</t>
  </si>
  <si>
    <t xml:space="preserve">収入印紙の取扱要領 </t>
  </si>
  <si>
    <t>https://itochucorp.sharepoint.com/sites/intra-tokgn/Lists/List004/DispForm.aspx?ID=921</t>
  </si>
  <si>
    <t>e8aa6433-1fd2-4b1b-9394-3bac5872c732</t>
  </si>
  <si>
    <t>就業規則</t>
  </si>
  <si>
    <t>出産</t>
  </si>
  <si>
    <t>出張</t>
  </si>
  <si>
    <t>署名</t>
  </si>
  <si>
    <t>商取引管理規定</t>
  </si>
  <si>
    <t>商取引管理規程 解説書</t>
  </si>
  <si>
    <t>e4fc1d25-5b58-41e9-a561-939b5df12932</t>
  </si>
  <si>
    <t>商取引管理規程</t>
  </si>
  <si>
    <t>https://itochucorp.sharepoint.com/sites/intra-tokgn/Shared%20Documents/kitei/商取引管理規程2020年4月1日改定.pdf</t>
  </si>
  <si>
    <t>7bd830e8-ee16-4529-869b-5ba70ccd2a1a</t>
  </si>
  <si>
    <t>承認者</t>
  </si>
  <si>
    <t>昇格</t>
  </si>
  <si>
    <t>賞与</t>
  </si>
  <si>
    <t>職務権限責任規程</t>
  </si>
  <si>
    <t>業務部 社内ルール(規定・基準・通達) サイト</t>
  </si>
  <si>
    <t>https://itochucorp.sharepoint.com/sites/intra-tokoa/DocLib002/Forms/AllItems.aspx</t>
  </si>
  <si>
    <t>4e88eaa0-c9c2-44aa-bc4e-2a3b45588a82</t>
  </si>
  <si>
    <t>職務調査</t>
  </si>
  <si>
    <t>食堂</t>
  </si>
  <si>
    <t>新型コロナ</t>
  </si>
  <si>
    <t>新型コロナウイルス</t>
  </si>
  <si>
    <t>申請案件</t>
  </si>
  <si>
    <t>添付型 FAQ</t>
  </si>
  <si>
    <t>http://sign.intra.itochu.co.jp/itcwf/menu/common/menu_sender/TPW_MI_FAQ</t>
  </si>
  <si>
    <t>90e1d061-b324-4cd6-abcb-d6fe0e38e83a</t>
  </si>
  <si>
    <t>親展</t>
  </si>
  <si>
    <t>親展通知</t>
  </si>
  <si>
    <t>身上</t>
  </si>
  <si>
    <t>身上異動</t>
  </si>
  <si>
    <t>人事月報（過去掲載文）</t>
  </si>
  <si>
    <t>https://itochucorp.sharepoint.com/sites/intra-tokpj_hr/DocLib003/Forms/AllItems.aspx</t>
  </si>
  <si>
    <t>194ad704-357b-4e93-ae10-0640f5fa6153</t>
  </si>
  <si>
    <t>05de0f11-3b20-4fe9-8558-6e89c9c7c1b5</t>
  </si>
  <si>
    <t>精算</t>
  </si>
  <si>
    <t>青本</t>
  </si>
  <si>
    <t xml:space="preserve">単体決算会計システム処理要領(青本) </t>
  </si>
  <si>
    <t>https://itochucorp.sharepoint.com/sites/intra-tokgn/SitePages/system/bluebook/単体決算会計システム処理要領(青本).aspx</t>
  </si>
  <si>
    <t>eab50db4-2b98-40a0-be0e-91b5550b8730</t>
  </si>
  <si>
    <t>設備予約</t>
  </si>
  <si>
    <t>前払費用</t>
  </si>
  <si>
    <t>オプション取引におけるオプション料の処理について</t>
  </si>
  <si>
    <t>https://itochucorp.sharepoint.com/sites/intra-tokgn/Lists/List004/DispForm.aspx?ID=271</t>
  </si>
  <si>
    <t>3aafd113-8da3-42e1-9373-fe8ed7fdafd2</t>
  </si>
  <si>
    <t xml:space="preserve">外貨建取引等会計処理基準について </t>
  </si>
  <si>
    <t>https://itochucorp.sharepoint.com/sites/intra-tokgn/Lists/List004/DispForm.aspx?ID=940</t>
  </si>
  <si>
    <t>3b3dd98a-64a1-4593-a475-ec0f339f7a6c</t>
  </si>
  <si>
    <t>組合</t>
  </si>
  <si>
    <t>組織一覧</t>
  </si>
  <si>
    <t>組織単位一覧</t>
  </si>
  <si>
    <t>https://itochucorp.sharepoint.com/sites/extra-tokgnlevelD/DocLib001/Forms/AllItems.aspx</t>
  </si>
  <si>
    <t>d9e4ed5f-5608-4adc-81e8-0ef920663910</t>
  </si>
  <si>
    <t>組織権限</t>
  </si>
  <si>
    <t>組織図</t>
  </si>
  <si>
    <t>組織単位</t>
  </si>
  <si>
    <t>代理起票</t>
  </si>
  <si>
    <t>帳簿点検</t>
  </si>
  <si>
    <t>帳簿点検の実施要領</t>
  </si>
  <si>
    <t>https://itochucorp.sharepoint.com/sites/intra-tokgn/Lists/List004/DispForm.aspx?ID=907</t>
  </si>
  <si>
    <t>de924ace-2a16-42ec-b923-a01a842e6e0b</t>
  </si>
  <si>
    <t>朝</t>
  </si>
  <si>
    <t>朝活</t>
  </si>
  <si>
    <t>動画配信システム</t>
  </si>
  <si>
    <t>https://video.itochu.co.jp/Lists/MovieList002/AllItems.aspx</t>
  </si>
  <si>
    <t>c389716a-b07e-4a60-bbef-b3839dbd3057</t>
  </si>
  <si>
    <t>朝活セミナー</t>
  </si>
  <si>
    <t>朝型</t>
  </si>
  <si>
    <t>朝食</t>
  </si>
  <si>
    <t>朝方勤務</t>
  </si>
  <si>
    <t>追加入力</t>
  </si>
  <si>
    <t>追加入力者</t>
  </si>
  <si>
    <t>通知</t>
  </si>
  <si>
    <t>低価法</t>
  </si>
  <si>
    <t xml:space="preserve">棚卸資産に係る低価法の取扱い </t>
  </si>
  <si>
    <t>https://itochucorp.sharepoint.com/sites/intra-tokgn/Lists/List007/DispForm.aspx?ID=88</t>
  </si>
  <si>
    <t>adaa6277-76a2-4fea-a881-a8040d89d256</t>
  </si>
  <si>
    <t>棚卸資産低価法値入力マニュアル</t>
  </si>
  <si>
    <t>b0b78036-984c-4e7c-b349-aee847e8590c</t>
  </si>
  <si>
    <t>定額口銭</t>
  </si>
  <si>
    <t>分与口銭・定額口銭制度 改訂の件</t>
  </si>
  <si>
    <t>https://itochucorp.sharepoint.com/sites/intra-tokgn/Lists/List004/DispForm.aspx?ID=958</t>
  </si>
  <si>
    <t>80d19056-c0f3-4a76-8e23-ac4b503009d0</t>
  </si>
  <si>
    <t>添付型</t>
  </si>
  <si>
    <t>添付型汎用申請</t>
  </si>
  <si>
    <t>電子契約</t>
  </si>
  <si>
    <t>電子契約・捺印</t>
  </si>
  <si>
    <t>電子署名</t>
  </si>
  <si>
    <t>電子署名・私印</t>
  </si>
  <si>
    <t>電子帳票</t>
  </si>
  <si>
    <t>電子捺印</t>
  </si>
  <si>
    <t>統一レート</t>
  </si>
  <si>
    <t>https://itochucorp.sharepoint.com/sites/extra-tokgnlevelD/DocLib005/Forms/AllItems.aspx</t>
  </si>
  <si>
    <t>ff54ff56-2ea1-473c-84c8-0a09d8dba87c</t>
  </si>
  <si>
    <t>統一レートの算定基準</t>
  </si>
  <si>
    <t>https://itochucorp.sharepoint.com/sites/intra-tokgn/Lists/List003/DispForm.aspx?ID=259</t>
  </si>
  <si>
    <t>02a52e91-4f88-4c67-9e77-417c22bf230d</t>
  </si>
  <si>
    <t>統合会社コード</t>
  </si>
  <si>
    <t>統合会社コード体系について</t>
  </si>
  <si>
    <t>https://itochucorp.sharepoint.com/sites/intra-tokgv-MHANA/m21hana_/【統合会社マスタ】補足）統合会社コード体系.pdf</t>
  </si>
  <si>
    <t>0edbf786-1d90-47d3-9d28-8dd438b3981d</t>
  </si>
  <si>
    <t>64fc3671-12f4-4d86-9eb8-3987ed37d7db</t>
  </si>
  <si>
    <t>同夢</t>
  </si>
  <si>
    <t>内線</t>
  </si>
  <si>
    <t>内部統制</t>
  </si>
  <si>
    <t>内部統制 サイト</t>
  </si>
  <si>
    <t>https://itochucorp.sharepoint.com/sites/intra-tokgk-toknh/SitePages/TopPage.aspx</t>
  </si>
  <si>
    <t>05185f77-bcca-4f1e-9406-e36a48e5ff78</t>
  </si>
  <si>
    <t>捺印</t>
  </si>
  <si>
    <t>捺印マニュアル</t>
  </si>
  <si>
    <t>日吉</t>
  </si>
  <si>
    <t>日吉寮</t>
  </si>
  <si>
    <t>妊娠</t>
  </si>
  <si>
    <t>年調</t>
  </si>
  <si>
    <t>年末調整</t>
  </si>
  <si>
    <t>能力評価</t>
  </si>
  <si>
    <t>反社</t>
  </si>
  <si>
    <t>反社システム</t>
  </si>
  <si>
    <t>https://itochucorp.sharepoint.com/sites/intra-tokpj_ga/Shared%20Documents/hansha/hanshatsuuchi.pdf</t>
  </si>
  <si>
    <t>8e65457b-9bdf-45a3-a338-b68a767c06fe</t>
  </si>
  <si>
    <t>反社チェック</t>
  </si>
  <si>
    <t>標準請求書</t>
  </si>
  <si>
    <t>標準請求書 ログイン</t>
  </si>
  <si>
    <t>http://itckccnbweb.intra.itochu.co.jp/invoice-web/</t>
  </si>
  <si>
    <t>f25f5d4e-b183-402a-a3c6-addcd9d1f985</t>
  </si>
  <si>
    <t>標準請求書 ヘルプサイト</t>
  </si>
  <si>
    <t>https://itochucorp.sharepoint.com/sites/extra-tokgnlevelD/SitePages/system/標準請求書システム.aspx</t>
  </si>
  <si>
    <t>5786d1c1-9186-42aa-be49-6ba16db7e8f9</t>
  </si>
  <si>
    <t>付加価値税</t>
  </si>
  <si>
    <t>封筒</t>
  </si>
  <si>
    <t>分掌</t>
  </si>
  <si>
    <t>分身会社</t>
  </si>
  <si>
    <t>分与口銭</t>
  </si>
  <si>
    <t>文具</t>
  </si>
  <si>
    <t>文書管理</t>
  </si>
  <si>
    <t>”文書管理規定”はこちら</t>
  </si>
  <si>
    <t>https://itochucorp.sharepoint.com/sites/intra-tokpj_ga/Shared%20Documents/rule/bunsyokanrikisoku.pdf</t>
  </si>
  <si>
    <t>45572411-afb1-46de-bbd5-8a32c858651b</t>
  </si>
  <si>
    <t>”文書削減活動 関連情報サイト”はこちら</t>
  </si>
  <si>
    <t>https://itochucorp.sharepoint.com/sites/intra-tokpj_ga/SitePages/文書削減活動 関連情報サイト.aspx</t>
  </si>
  <si>
    <t>451ab83e-513f-470a-89c4-893d660f98ec</t>
  </si>
  <si>
    <t>”文書保存年限表”はこちら</t>
  </si>
  <si>
    <t>https://itochucorp.sharepoint.com/sites/intra-tokpj_ga/Shared%20Documents/rule/nengenhyo.pdf</t>
  </si>
  <si>
    <t>3befc405-dabf-4371-8dce-d7bd8833ddd9</t>
  </si>
  <si>
    <t>文書管理、文書保存、文書削減</t>
  </si>
  <si>
    <t>文書管理規則</t>
  </si>
  <si>
    <t>文書管理規定</t>
  </si>
  <si>
    <t>文書削減</t>
  </si>
  <si>
    <t>文書保存</t>
  </si>
  <si>
    <t>文書保存年限表</t>
  </si>
  <si>
    <t>文書保存箱</t>
  </si>
  <si>
    <t>”文書保存箱管理システム”はこちら</t>
  </si>
  <si>
    <t>https://dms.itclogi.com/login</t>
  </si>
  <si>
    <t>adb5d318-f6bb-4db5-a16b-550f65880c33</t>
  </si>
  <si>
    <t>文書保存箱管理</t>
  </si>
  <si>
    <t>文書保存箱管理システム</t>
  </si>
  <si>
    <t>変動給</t>
  </si>
  <si>
    <t>MBOの手引き</t>
  </si>
  <si>
    <t>3650402d-6f4b-4c47-bad1-5bf5172268f4</t>
  </si>
  <si>
    <t>保養所</t>
  </si>
  <si>
    <t>伊藤忠健康保険組合 直営保養所 トップページ</t>
  </si>
  <si>
    <t>http://www.itc-hoyoujo.jp/itc-hyoyo/</t>
  </si>
  <si>
    <t>532c65fb-25cc-46d9-b86d-d6f28fbc0015</t>
  </si>
  <si>
    <t>包括記名依頼書</t>
  </si>
  <si>
    <t>貿易管理</t>
  </si>
  <si>
    <t>貿易管理プログラム</t>
  </si>
  <si>
    <t>防災</t>
  </si>
  <si>
    <t>”伊藤忠グループセキュリティ”はこちら</t>
  </si>
  <si>
    <t>https://group-intra.itochu.co.jp/tokpj_ga/SitePages/TopPage.aspx</t>
  </si>
  <si>
    <t>a753cb37-3462-4949-bf63-a2e3c393ff4e</t>
  </si>
  <si>
    <t>未収収益</t>
  </si>
  <si>
    <t xml:space="preserve">未収銀行利子の計上について </t>
  </si>
  <si>
    <t>https://itochucorp.sharepoint.com/sites/intra-tokgn/Lists/List003/DispForm.aspx?ID=234</t>
  </si>
  <si>
    <t>5526e30b-f73a-40af-a9fe-55b473caf855</t>
  </si>
  <si>
    <t xml:space="preserve">未収利息の不計上基準改訂の件 </t>
  </si>
  <si>
    <t>https://itochucorp.sharepoint.com/sites/intra-tokgn/Lists/List004/DispForm.aspx?ID=906</t>
  </si>
  <si>
    <t>63ae3653-3fa1-423d-81d9-827eab41bbb8</t>
  </si>
  <si>
    <t xml:space="preserve">輸出代金保険事故及び保険債権代位に係る経理処理 </t>
  </si>
  <si>
    <t>https://itochucorp.sharepoint.com/sites/intra-tokgn/Lists/List003/DispForm.aspx?ID=180</t>
  </si>
  <si>
    <t>00f68212-ff19-4710-93dc-c70ba8db0add</t>
  </si>
  <si>
    <t>未分配</t>
  </si>
  <si>
    <t>当社連結決算における連結対象会社の未分配剰余金に係る税効果の取扱について</t>
  </si>
  <si>
    <t>https://itochucorp.sharepoint.com/sites/intra-tokgn/Lists/List004/DispForm.aspx?ID=39</t>
  </si>
  <si>
    <t>a903312b-db42-4777-8ce7-55ccbfebfc1c</t>
  </si>
  <si>
    <t>未分配剰余金</t>
  </si>
  <si>
    <t>無形固定資産</t>
  </si>
  <si>
    <t xml:space="preserve">固定資産の減損に係る経理処理基準改訂の件 </t>
  </si>
  <si>
    <t>https://itochucorp.sharepoint.com/sites/intra-tokgn/Lists/List004/DispForm.aspx?ID=106</t>
  </si>
  <si>
    <t>c54a2645-22e8-4a3a-b250-748f38b9bbf3</t>
  </si>
  <si>
    <t xml:space="preserve">資産除去債務に関する会計処理について </t>
  </si>
  <si>
    <t>https://itochucorp.sharepoint.com/sites/intra-tokgn/Lists/List004/DispForm.aspx?ID=62</t>
  </si>
  <si>
    <t>ecb5c73a-7227-4ec0-bd0a-d77f85694350</t>
  </si>
  <si>
    <t>無線LAN</t>
  </si>
  <si>
    <t>名刺</t>
  </si>
  <si>
    <t>69356f04-ddbd-48a6-a7af-71103ce5b3ed</t>
  </si>
  <si>
    <t>名刺タイトル</t>
  </si>
  <si>
    <t>明細</t>
  </si>
  <si>
    <t>目標</t>
  </si>
  <si>
    <t>目標管理</t>
  </si>
  <si>
    <t>役務口銭</t>
  </si>
  <si>
    <t>役務口銭ノ経理処理ニツイテ</t>
  </si>
  <si>
    <t>https://itochucorp.sharepoint.com/sites/intra-tokgn/Lists/List004/DispForm.aspx?ID=395</t>
  </si>
  <si>
    <t>bd71fe89-2d92-43d6-9051-e00efb8886ff</t>
  </si>
  <si>
    <t>来客</t>
  </si>
  <si>
    <t>来客予約</t>
  </si>
  <si>
    <t>利用停止</t>
  </si>
  <si>
    <t>寮</t>
  </si>
  <si>
    <t>連結レート</t>
  </si>
  <si>
    <t>連結決算における換算レート一覧表</t>
  </si>
  <si>
    <t>https://itochucorp.sharepoint.com/sites/extra-tokgnlevelD/DocLib004/Forms/AllItems.aspx</t>
  </si>
  <si>
    <t>1b425f1d-35a5-4f4a-b088-cca90a20fb9f</t>
  </si>
  <si>
    <t>連結決算における換算レート</t>
  </si>
  <si>
    <t>労組</t>
  </si>
  <si>
    <t>労働組合</t>
  </si>
  <si>
    <t>Neuron Support Tool を起動</t>
    <rPh sb="21" eb="23">
      <t>キドウ</t>
    </rPh>
    <phoneticPr fontId="1"/>
  </si>
  <si>
    <t>「支援機能設定」を選択</t>
    <rPh sb="1" eb="3">
      <t>シエン</t>
    </rPh>
    <rPh sb="3" eb="5">
      <t>キノウ</t>
    </rPh>
    <rPh sb="5" eb="7">
      <t>セッテイ</t>
    </rPh>
    <rPh sb="9" eb="11">
      <t>センタク</t>
    </rPh>
    <phoneticPr fontId="1"/>
  </si>
  <si>
    <t>「EXPORT」を選択</t>
    <rPh sb="9" eb="11">
      <t>センタク</t>
    </rPh>
    <phoneticPr fontId="1"/>
  </si>
  <si>
    <t>出力ファイルをefilesに格納</t>
    <rPh sb="0" eb="2">
      <t>シュツリョク</t>
    </rPh>
    <rPh sb="14" eb="16">
      <t>カクノウ</t>
    </rPh>
    <phoneticPr fontId="1"/>
  </si>
  <si>
    <t>格納場所</t>
    <rPh sb="0" eb="4">
      <t>カクノウバショ</t>
    </rPh>
    <phoneticPr fontId="1"/>
  </si>
  <si>
    <t>\\efiles\伊藤忠エンタープライズ検索\30_運用手順書\運用手順書\01_検索連動型お知らせ機能（ピン止め機能）\登録データ\YYYYmmdd</t>
    <phoneticPr fontId="1"/>
  </si>
  <si>
    <t>出力したファイルを下記に格納</t>
    <rPh sb="0" eb="2">
      <t>シュツリョク</t>
    </rPh>
    <rPh sb="9" eb="11">
      <t>カキ</t>
    </rPh>
    <rPh sb="12" eb="14">
      <t>カクノウ</t>
    </rPh>
    <phoneticPr fontId="1"/>
  </si>
  <si>
    <t>■ファイル名</t>
    <rPh sb="5" eb="6">
      <t>メイ</t>
    </rPh>
    <phoneticPr fontId="1"/>
  </si>
  <si>
    <t>advertisements.tsv</t>
    <phoneticPr fontId="1"/>
  </si>
  <si>
    <t>■格納先</t>
    <rPh sb="1" eb="4">
      <t>カクノウサキ</t>
    </rPh>
    <phoneticPr fontId="1"/>
  </si>
  <si>
    <t>\\efiles\伊藤忠エンタープライズ検索\30_運用手順書\運用手順書\01_検索連動型お知らせ機能（ピン止め機能）\登録データ\非正規化PS</t>
    <phoneticPr fontId="1"/>
  </si>
  <si>
    <t>ConvertTo-DenormalisedAdvertisements.ps1 を PowerShell で実行</t>
    <rPh sb="55" eb="57">
      <t>ジッコウ</t>
    </rPh>
    <phoneticPr fontId="1"/>
  </si>
  <si>
    <t>ａｇｉｌｅ</t>
  </si>
  <si>
    <t>ａｇｉｌｅｗｏｒｋｓ</t>
  </si>
  <si>
    <t>band</t>
  </si>
  <si>
    <t>ｂａｎｄ</t>
  </si>
  <si>
    <t>HRポータル</t>
  </si>
  <si>
    <t>bcp</t>
  </si>
  <si>
    <t>ｂｃｐ</t>
  </si>
  <si>
    <t>ｂｏｘ</t>
  </si>
  <si>
    <t>dhl</t>
  </si>
  <si>
    <t>ｄｈｌ</t>
  </si>
  <si>
    <t>docusign</t>
  </si>
  <si>
    <t>ｄｏｃｕｓｉｇｎ</t>
  </si>
  <si>
    <t>ecp</t>
  </si>
  <si>
    <t>ｅｃｐ</t>
  </si>
  <si>
    <t>ｅ－ｌｅａｒｎｉｎｇ</t>
  </si>
  <si>
    <t>ｅラーニング</t>
  </si>
  <si>
    <t>ｆｘ－ｍａｉｌ</t>
  </si>
  <si>
    <t>ｇｒａｄｅ</t>
  </si>
  <si>
    <t>ｈａｎａｂｉ</t>
  </si>
  <si>
    <t>hmc</t>
  </si>
  <si>
    <t>ｈｍｃ</t>
  </si>
  <si>
    <t>ipad</t>
  </si>
  <si>
    <t>ｉｐａｄ</t>
  </si>
  <si>
    <t>i-star</t>
  </si>
  <si>
    <t>ｉ－ｓｔａｒ</t>
  </si>
  <si>
    <t>ｉ－ｔｒａｄｅ</t>
  </si>
  <si>
    <t>ｊｅｔｆｉ</t>
  </si>
  <si>
    <t>ｍｂｏ</t>
  </si>
  <si>
    <t>mhana</t>
  </si>
  <si>
    <t>ｍｈａｎａ</t>
  </si>
  <si>
    <t>ｍｉｓｓｉｏｎ２１</t>
  </si>
  <si>
    <t>ｏｗａ</t>
  </si>
  <si>
    <t>ｐｅｏｐｌｅ</t>
  </si>
  <si>
    <t>ｒａｎｋ</t>
  </si>
  <si>
    <t>https://itochucorp.sharepoint.com/sites/intra-tokgv-kaizen</t>
  </si>
  <si>
    <t>ｒｖ</t>
  </si>
  <si>
    <t>ｓａｎｓａｎ</t>
  </si>
  <si>
    <t>sap</t>
  </si>
  <si>
    <t>ｓａｐ</t>
  </si>
  <si>
    <t>ｓｋｙｐｄｆ</t>
  </si>
  <si>
    <t>ｓｐａｉｓ</t>
  </si>
  <si>
    <t>ｓｔｒａｖｉｓ</t>
  </si>
  <si>
    <t>ｔｅａｍｓ</t>
  </si>
  <si>
    <t>ｕｎｉｃｏｒｎ</t>
  </si>
  <si>
    <t>webex</t>
  </si>
  <si>
    <t>ｗｅｂｅｘ</t>
  </si>
  <si>
    <t>webexcalling</t>
  </si>
  <si>
    <t>ｗｅｂｅｘｃａｌｌｉｎｇ</t>
  </si>
  <si>
    <t>ｗｉｆｉ</t>
  </si>
  <si>
    <t>ｗｉ－ｆｉ</t>
  </si>
  <si>
    <t>ｚｏｏｍ</t>
  </si>
  <si>
    <t>スカイｐｄｆ</t>
  </si>
  <si>
    <t>https://itochucorp.sharepoint.com/sites/intra-tokgv-dokolan</t>
  </si>
  <si>
    <t>2023年度変動給支給日</t>
  </si>
  <si>
    <t>社宅申請書</t>
  </si>
  <si>
    <t>https://itochucorp.sharepoint.com/sites/intra-tokgn/Shared%20Documents/tan/teikahou-manualver6.pdf</t>
  </si>
  <si>
    <t>出力された output.tsv を下記ディレクトリに格納</t>
    <rPh sb="0" eb="2">
      <t>シュツリョク</t>
    </rPh>
    <rPh sb="18" eb="20">
      <t>カキ</t>
    </rPh>
    <rPh sb="27" eb="29">
      <t>カクノウ</t>
    </rPh>
    <phoneticPr fontId="1"/>
  </si>
  <si>
    <t>格納した advertisements.tsv の[ _opcode ] カラムを [ opcode ] に変更</t>
    <rPh sb="0" eb="2">
      <t>カクノウ</t>
    </rPh>
    <rPh sb="54" eb="56">
      <t>ヘンコウ</t>
    </rPh>
    <phoneticPr fontId="1"/>
  </si>
  <si>
    <t>output.tsv をコピーし「outout.tsv貼り付け」シートに貼り付け</t>
    <rPh sb="27" eb="28">
      <t>ハ</t>
    </rPh>
    <rPh sb="29" eb="30">
      <t>ツ</t>
    </rPh>
    <rPh sb="36" eb="37">
      <t>ハ</t>
    </rPh>
    <rPh sb="38" eb="39">
      <t>ツ</t>
    </rPh>
    <phoneticPr fontId="1"/>
  </si>
  <si>
    <t>キーワード設定個数</t>
    <rPh sb="5" eb="9">
      <t>セッテイコスウ</t>
    </rPh>
    <phoneticPr fontId="1"/>
  </si>
  <si>
    <t>①title</t>
    <phoneticPr fontId="1"/>
  </si>
  <si>
    <t>②title</t>
    <phoneticPr fontId="1"/>
  </si>
  <si>
    <t>③title</t>
    <phoneticPr fontId="1"/>
  </si>
  <si>
    <t>④title</t>
    <phoneticPr fontId="1"/>
  </si>
  <si>
    <t>【キーワード精査ルール】</t>
    <rPh sb="6" eb="8">
      <t>セイサ</t>
    </rPh>
    <phoneticPr fontId="1"/>
  </si>
  <si>
    <t>英数字は小文字で半角と全角それぞれを登録する</t>
    <rPh sb="0" eb="3">
      <t>エイスウジ</t>
    </rPh>
    <rPh sb="4" eb="7">
      <t>コモジ</t>
    </rPh>
    <rPh sb="8" eb="10">
      <t>ハンカク</t>
    </rPh>
    <rPh sb="11" eb="13">
      <t>ゼンカク</t>
    </rPh>
    <rPh sb="18" eb="20">
      <t>トウロク</t>
    </rPh>
    <phoneticPr fontId="1"/>
  </si>
  <si>
    <t>大文字小文字は区別しないため、英数字は小文字で登録する</t>
    <rPh sb="0" eb="3">
      <t>オオモジ</t>
    </rPh>
    <rPh sb="3" eb="6">
      <t>コモジ</t>
    </rPh>
    <rPh sb="7" eb="9">
      <t>クベツ</t>
    </rPh>
    <rPh sb="15" eb="18">
      <t>エイスウジ</t>
    </rPh>
    <rPh sb="19" eb="22">
      <t>コモジ</t>
    </rPh>
    <rPh sb="23" eb="25">
      <t>トウロク</t>
    </rPh>
    <phoneticPr fontId="1"/>
  </si>
  <si>
    <t>例)"Box" の場合は "box" と登録</t>
    <rPh sb="0" eb="1">
      <t>レイ</t>
    </rPh>
    <rPh sb="9" eb="11">
      <t>バアイ</t>
    </rPh>
    <rPh sb="20" eb="22">
      <t>トウロク</t>
    </rPh>
    <phoneticPr fontId="1"/>
  </si>
  <si>
    <t>例)"Box" の場合 "box" と"ｂｏｘ" を登録</t>
    <rPh sb="0" eb="1">
      <t>レイ</t>
    </rPh>
    <rPh sb="9" eb="11">
      <t>バアイ</t>
    </rPh>
    <phoneticPr fontId="1"/>
  </si>
  <si>
    <t>寮申請書</t>
  </si>
  <si>
    <t>「キーワード重複確認」シートの「キーワード重複抽出」を押下し、重複したキーワードを抽出する</t>
    <rPh sb="6" eb="8">
      <t>チョウフク</t>
    </rPh>
    <rPh sb="8" eb="10">
      <t>カクニン</t>
    </rPh>
    <rPh sb="21" eb="23">
      <t>チョウフク</t>
    </rPh>
    <rPh sb="23" eb="25">
      <t>チュウシュツ</t>
    </rPh>
    <rPh sb="27" eb="29">
      <t>オウカ</t>
    </rPh>
    <rPh sb="31" eb="33">
      <t>チョウフク</t>
    </rPh>
    <rPh sb="41" eb="43">
      <t>チュウシュツ</t>
    </rPh>
    <phoneticPr fontId="1"/>
  </si>
  <si>
    <t>_ex</t>
  </si>
  <si>
    <t>_opcode</t>
  </si>
  <si>
    <t>keywords</t>
  </si>
  <si>
    <t>*</t>
  </si>
  <si>
    <t>[ "研修", "育成", "教育", "研鑽", "海外赴任前研修", "海外赴任前", "海外赴任", "LB英語試験", "LB", "リンガスキル", "英語試験", "TSST試験", "TSST", "TOEIC試験", "TOEIC", "キャリアビジョン支援研修", "キャリアビジョン", "基礎コース" ]</t>
  </si>
  <si>
    <t>[ "同夢", "食堂", "社員食堂", "社食" ]</t>
  </si>
  <si>
    <t>[ "持株会", "持ち株会", "持株", "持ち株" ]</t>
  </si>
  <si>
    <t>[ "mbo", "目標管理", "目標" ]</t>
  </si>
  <si>
    <t>6c816dad-01cd-4911-8a35-0a74641052c5</t>
  </si>
  <si>
    <t>社宅・寮管理規程</t>
  </si>
  <si>
    <t>https://itochucorp.sharepoint.com/sites/intra-tokpj_hr/D_LevelA4/welfare/shataku_ryo.pdf</t>
  </si>
  <si>
    <t>[ "社宅" ]</t>
  </si>
  <si>
    <t>a47066bd-6776-49f2-97b4-49c7b64f24c9</t>
  </si>
  <si>
    <t>社宅・寮 管理規程　運用細則</t>
  </si>
  <si>
    <t>https://itochucorp.sharepoint.com/sites/intra-tokpj_hr/D_LevelA4/welfare/shataku_saisoku.pdf</t>
  </si>
  <si>
    <t>33e062ab-20cd-425a-9c10-6867e88d3210</t>
  </si>
  <si>
    <t>社宅・寮入居申請書／誓約書(東京）</t>
  </si>
  <si>
    <t>https://itochucorp.sharepoint.com/sites/intra-form/DocLib006/社宅・寮入居申請書／誓約書(東京）.xlsx</t>
  </si>
  <si>
    <t>0e8b8fc0-755a-4e35-b763-561f35862680</t>
  </si>
  <si>
    <t>社宅・寮退居届</t>
  </si>
  <si>
    <t>https://itochucorp.sharepoint.com/sites/intra-form/DocLib006/社宅・寮退居届.xlsx</t>
  </si>
  <si>
    <t>[ "社宅", "寮", "社員寮", "日吉寮", "日吉" ]</t>
  </si>
  <si>
    <t>親展通知システム</t>
  </si>
  <si>
    <t>https://hrportal.itochu.co.jp/shain/j_menu.asp</t>
  </si>
  <si>
    <t>[ "源泉徴収", "源泉徴収表", "源泉", "源泉徴収票", "給与明細", "変動給", "BAND通知書", "GRADE通知書", "海外給与", "異動決定", "Web評価", "身上異動", "医療費", "年末調整", "親展通知", "親展", "通知", "給与", "異動", "年調", "身上", "マイナンバー" ]</t>
  </si>
  <si>
    <t>[ "朝食", "朝", "バナナ", "朝型", "軽食" ]</t>
  </si>
  <si>
    <t>4dd51978-c898-4d2e-a7fd-343f92bb2b13</t>
  </si>
  <si>
    <t>2017年度変動給支給日</t>
  </si>
  <si>
    <t>https://itochucorp.sharepoint.com/sites/intra-info/Lists/WhatsNew/DispForm.aspx?ID=4355</t>
  </si>
  <si>
    <t>[ "賞与" ]</t>
  </si>
  <si>
    <t>ac8e284b-2c6d-4c64-9193-d3c768e9d3b1</t>
  </si>
  <si>
    <t>2017年7月度変動給賦課の精算</t>
  </si>
  <si>
    <t>https://itochucorp.sharepoint.com/sites/intra-tokpj_hr/Lists/WhatsNew/DispForm.aspx?ID=1664</t>
  </si>
  <si>
    <t>[ "変動給" ]</t>
  </si>
  <si>
    <t>8f4a6fe6-af9b-4699-a072-e7faa0538068</t>
  </si>
  <si>
    <t>[ "変動給", "賞与", "ボーナス" ]</t>
  </si>
  <si>
    <t>2aa0c05e-9347-4406-bfb8-be5f53840421</t>
  </si>
  <si>
    <t>2021年度変動給支給日</t>
  </si>
  <si>
    <t>https://itochucorp.sharepoint.com/sites/intra-info/Lists/WhatsNew/DispForm.aspx?ID=9629</t>
  </si>
  <si>
    <t>027418a6-5160-4140-aa87-bf7d3f285d40</t>
  </si>
  <si>
    <t>2020年度変動給賦課について</t>
  </si>
  <si>
    <t>https://itochucorp.sharepoint.com/sites/intra-tokpj_hr/D_LevelA3/setsumei/人総連第19-48号 2020年1月度からの変動給賦課について.pdf</t>
  </si>
  <si>
    <t>710e4141-658f-4aad-84e0-c9f5175b2f1e</t>
  </si>
  <si>
    <t>変動給支給率決定方法（MBOの手引きより）</t>
  </si>
  <si>
    <t>3ecabf03-eb55-4b05-8f7f-80b64b75d305</t>
  </si>
  <si>
    <t>人総連　2020年度リフレッシュ休暇の件</t>
  </si>
  <si>
    <t>https://itochucorp.sharepoint.com/sites/intra-tokpj_hr/Lists/List42401/DispForm.aspx?ID=1437</t>
  </si>
  <si>
    <t>[ "リフレッシュ休暇", "リフレッシュ", "勤続" ]</t>
  </si>
  <si>
    <t>[ "休暇", "休み", "時間管理", "勤務簿", "朝方勤務" ]</t>
  </si>
  <si>
    <t>[ "伊藤忠アプリ", "いとちゃん", "イトチャン", "イトちゃん", "いとチャン", "ITOCHAN", "itochannel", "伊藤忠アプリ", "社員専用アプリ", "スマホアプリ", "スマホ", "アプリ", "イトデンワ", "itodenwa", "糸電話", "イト電話", "いとデンワ", "糸デンワ", "伊トラベラー", "イトラベラー", "イトラン", "伊藤忠の走り方", "itorun", "itraveler", "ニュースアプリ" ]</t>
  </si>
  <si>
    <t>[ "ＩＤＭ", "IDM", "ＩＤ統合", "ID統合", "ＩＤ統合管理", "ID統合管理", "ＩＤ統合管理システム", "ID統合管理システム", "機構変更", "機変", "基本ID", "無線LAN", "メール継続利用", "社員外ユーザー", "ID登録", "ID申請", "個別システム", "メールアドレス", "氏名変更", "案件", "利用停止", "受講免除", "延長申請", "組織権限", "権限委譲", "承認者", "個人宛て", "委譲設定", "申請案件" ]</t>
  </si>
  <si>
    <t>[ "添付型", "添付型汎用申請", "申請案件" ]</t>
  </si>
  <si>
    <t>[ "ワークフロー" ]</t>
  </si>
  <si>
    <t>4e9770fd-563b-4ab2-8173-f2f95ffc710d</t>
  </si>
  <si>
    <t>ワークフロー FAQ</t>
  </si>
  <si>
    <t>https://itochucorp.sharepoint.com/sites/intra-tokgv/system/SitePages/workflow_manual_faq.aspx</t>
  </si>
  <si>
    <t>[ "ワークフロー", "勤務", "勤務簿", "出張", "国内出張", "海外出張", "経費精算", "精算", "市内交通費", "事前申請", "３Ｋ", "海外旅費", "権限委譲", "承認者", "追加入力者", "追加入力", "国内旅費", "代理起票", "チケット仮払い" ]</t>
  </si>
  <si>
    <t>[ "給与", "給与明細", "明細" ]</t>
  </si>
  <si>
    <t>073ce43d-831f-43c2-be57-7a3135703492</t>
  </si>
  <si>
    <t>[ "給与", "給与明細", "明細", "給与テーブル" ]</t>
  </si>
  <si>
    <t>[ "esg", "ｅｓｇ", "sdgs", "ｓｄｇｓ", "サプライチェーン", "社会貢献" ]</t>
  </si>
  <si>
    <t>[ "統一レート" ]</t>
  </si>
  <si>
    <t>[ "期末換算レート" ]</t>
  </si>
  <si>
    <t>[ "連結レート", "連結決算における換算レート" ]</t>
  </si>
  <si>
    <t>[ "海外出張旅費" ]</t>
  </si>
  <si>
    <t>[ "交互計算勘定" ]</t>
  </si>
  <si>
    <t>[ "在庫実査" ]</t>
  </si>
  <si>
    <t>[ "社内負担金" ]</t>
  </si>
  <si>
    <t>[ "商取引管理規定", "商取引管理規程" ]</t>
  </si>
  <si>
    <t>ochu.co.jp/sites/tokgn/Shared%20Documents/kitei/商取引管理規程解説書（和文）.pdf</t>
  </si>
  <si>
    <t>[ "タイプ別仕訳分析表" ]</t>
  </si>
  <si>
    <t>[ "事業会社区分" ]</t>
  </si>
  <si>
    <t>[ "役務口銭" ]</t>
  </si>
  <si>
    <t>[ "vat", "付加価値税" ]</t>
  </si>
  <si>
    <t>[ "受取配当金" ]</t>
  </si>
  <si>
    <t>[ "残高確認" ]</t>
  </si>
  <si>
    <t>[ "経費支払事後点検" ]</t>
  </si>
  <si>
    <t>[ "帳簿点検" ]</t>
  </si>
  <si>
    <t>[ "デリバティブ" ]</t>
  </si>
  <si>
    <t>[ "外国税額控除" ]</t>
  </si>
  <si>
    <t>[ "未分配剰余金", "未分配" ]</t>
  </si>
  <si>
    <t>[ "定額口銭", "分与口銭" ]</t>
  </si>
  <si>
    <t xml:space="preserve">単体決算会計システム処理要領(青本)   </t>
  </si>
  <si>
    <t>[ "青本" ]</t>
  </si>
  <si>
    <t>[ "勘定科目" ]</t>
  </si>
  <si>
    <t>[ "収入印紙" ]</t>
  </si>
  <si>
    <t>[ "未収収益" ]</t>
  </si>
  <si>
    <t>eefd9023-4827-4496-a0c6-31fb0cf80afd</t>
  </si>
  <si>
    <t>[ "前払費用" ]</t>
  </si>
  <si>
    <t>[ "無形固定資産" ]</t>
  </si>
  <si>
    <t>[ "低価法" ]</t>
  </si>
  <si>
    <t>https://itochucorp.sharepoint.com/sites/intra-tokgn/Shared%20Documents/tan/teikahou-manualver6.pdf&amp;action=default</t>
  </si>
  <si>
    <t>[ "zoom" ]</t>
  </si>
  <si>
    <t>[ "どこでも内線" ]</t>
  </si>
  <si>
    <t>[ "BOX", "box", "Box" ]</t>
  </si>
  <si>
    <t>f5c0abad-65b0-43a6-a6ed-871534d71182</t>
  </si>
  <si>
    <t>BlackBerry ヘルプサイト</t>
  </si>
  <si>
    <t>https://itochucorp.sharepoint.com/sites/intra-tokgv/system/SitePages/blackberry_work_index.aspx</t>
  </si>
  <si>
    <t>[ "blackberry", "BB", "BlackBerry", "blackberry" ]</t>
  </si>
  <si>
    <t>[ "MHANA", "SAP", "Mission21", "mission21" ]</t>
  </si>
  <si>
    <t>[ "hanabi", "HANABI" ]</t>
  </si>
  <si>
    <t>[ "unicorn" ]</t>
  </si>
  <si>
    <t>[ "iPad" ]</t>
  </si>
  <si>
    <t>[ "people" ]</t>
  </si>
  <si>
    <t>[ "people", "who'swho", "who's", "who" ]</t>
  </si>
  <si>
    <t>[ "people", "写真", "マイタブ" ]</t>
  </si>
  <si>
    <t>[ "ECP", "貿易管理", "貿易管理プログラム" ]</t>
  </si>
  <si>
    <t>[ "DHL" ]</t>
  </si>
  <si>
    <t>[ "teams", "Teams", "TEAMS" ]</t>
  </si>
  <si>
    <t>[ "i-trade", "I-TRADE" ]</t>
  </si>
  <si>
    <t>[ "標準請求書" ]</t>
  </si>
  <si>
    <t>[ "OWA", "owa" ]</t>
  </si>
  <si>
    <t>[ "sansan", "SANSAN", "Sansan", "SanSan" ]</t>
  </si>
  <si>
    <t>[ "e-learning", "eラーニング" ]</t>
  </si>
  <si>
    <t>[ "シンクライアント", "シンクラ" ]</t>
  </si>
  <si>
    <t>https://itochucorp.sharepoint.com/sites/intra-tokgv/system/SitePages/dokolan_index.aspx</t>
  </si>
  <si>
    <t>[ "どこでもLAN", "どこLAN" ]</t>
  </si>
  <si>
    <t>[ "I-STAR" ]</t>
  </si>
  <si>
    <t>[ "stravis" ]</t>
  </si>
  <si>
    <t>[ "Fx-mail", "fx-mail", "FX-MAIL" ]</t>
  </si>
  <si>
    <t>[ "wifi", "jetfi" ]</t>
  </si>
  <si>
    <t>https://itochucorp.sharepoint.com/sites/intra-tokgv-rpa_ocr/SitePages/index.aspx</t>
  </si>
  <si>
    <t>[ "RPA", "ロボット" ]</t>
  </si>
  <si>
    <t>[ "メーリングリスト", "メーリス", "サポツ" ]</t>
  </si>
  <si>
    <t>[ "人事月報" ]</t>
  </si>
  <si>
    <t>[ "組織図", "組織単位", "組織単位一覧", "組織一覧" ]</t>
  </si>
  <si>
    <t>[ "健康管理室" ]</t>
  </si>
  <si>
    <t>[ "社外情報リンク" ]</t>
  </si>
  <si>
    <t>[ "名刺", "名刺タイトル" ]</t>
  </si>
  <si>
    <t>[ "内部統制" ]</t>
  </si>
  <si>
    <t>[ "社内便", "メールセンター" ]</t>
  </si>
  <si>
    <t>[ "統合会社コード" ]</t>
  </si>
  <si>
    <t>[ "就業規則", "規程", "基準", "規約" ]</t>
  </si>
  <si>
    <t>[ "110運動", "110" ]</t>
  </si>
  <si>
    <t>[ "HMC" ]</t>
  </si>
  <si>
    <t>[ "保養所" ]</t>
  </si>
  <si>
    <t>[ "分掌", "職務権限責任規程" ]</t>
  </si>
  <si>
    <t>https://itochucorp.sharepoint.com/sites/intra-tokpj_hr/SitePages/チャレンジ・キャリア制度.aspx</t>
  </si>
  <si>
    <t>[ "チャレンジキャリア", "チャレンジキャリア制度", "チャレンジ・キャリア", "キャリアビジョン", "キャリア" ]</t>
  </si>
  <si>
    <t>[ "労働組合", "組合", "伊藤忠労働組合", "労組" ]</t>
  </si>
  <si>
    <t>bed67cb8-837e-46a5-bbfb-867eceb88bb5</t>
  </si>
  <si>
    <t>[ "懲戒", "月報", "人事月報", "解雇", "人事", "人事異動" ]</t>
  </si>
  <si>
    <t>[ "Band", "grade", "rank", "昇格", "能力評価", "職務調査" ]</t>
  </si>
  <si>
    <t>[ "コロナ", "コロナウィルス", "BCP", "在宅勤務", "新型コロナ", "新型コロナウイルス", "コロナウイルス", "コロナウィルスへの対応" ]</t>
  </si>
  <si>
    <t>新型コロナウイルス対策本部</t>
  </si>
  <si>
    <t>4bbc62c8-ed7a-4ffb-8415-d7ca7ea5614a</t>
  </si>
  <si>
    <t>【重要】ワクチン接種当日の留意事項</t>
  </si>
  <si>
    <t>https://itochucorp.sharepoint.com/sites/intra-info/Lists/WhatsNew/DispForm.aspx?ID=9803</t>
  </si>
  <si>
    <t>[ "ワクチン", "コロナワクチン", "コロナウィルスワクチン", "コロナウイルスワクチン", "新型コロナワクチン", "ワクチン接種", "予診票", "接種記録書", "職場接種", "職域接種", "コロナ", "コロナウィルス", "新型コロナ", "新型コロナウィルス", "新型コロナウイルス" ]</t>
  </si>
  <si>
    <t>3b78f9b4-e097-402c-ace2-b20ce310903a</t>
  </si>
  <si>
    <t>新型コロナウイルスワクチンの職場接種開始について</t>
  </si>
  <si>
    <t>https://itochucorp.sharepoint.com/sites/intra-tokpj_ga-bcp/Shared%20Documents/files/vaccine.pdf</t>
  </si>
  <si>
    <t>58c57a86-a5ec-40c1-b2c7-da7e1a441196</t>
  </si>
  <si>
    <t>新型コロナウイルスワクチンの職場接種開始について（予約詳細）</t>
  </si>
  <si>
    <t>https://itochucorp.sharepoint.com/sites/intra-info/Lists/WhatsNew/DispForm.aspx?ID=9777</t>
  </si>
  <si>
    <t>f5628965-0430-4272-80f6-ff42f8620b44</t>
  </si>
  <si>
    <t>新型コロナウイルスワクチン　社員向けFAQ</t>
  </si>
  <si>
    <t>https://itochucorp.sharepoint.com/sites/intra-tokpj_ga-bcp/Shared%20Documents/files/vaccineFAQ.pdf</t>
  </si>
  <si>
    <t>[ "ワクチン", "コロナワクチン", "コロナウィルスワクチン", "コロナウイルスワクチン", "新型コロナワクチン", "ワクチン接種", "予診票", "接種記録書", "職場接種", "職域接種", "コロナ", "コロナウィルス", "新型コロナ", "新型コロナウィルス", "新型コロナウイルス", "コロナウイルス", "コロナウィルスへの対応" ]</t>
  </si>
  <si>
    <t>d787072c-1309-42db-b82d-f170c383171a</t>
  </si>
  <si>
    <t>[ "SST" ]</t>
  </si>
  <si>
    <t>[ "Webex", "WebexCalling", "WebexCalling", "どこでも内線", "内線" ]</t>
  </si>
  <si>
    <t>[ "申請書ポータル", "agileworks", "agile" ]</t>
  </si>
  <si>
    <t>[ "岡藤", "岡藤会長", "岡藤会長CEO" ]</t>
  </si>
  <si>
    <t>692f3f67-86be-4e0a-9687-3fb33b36a9a4</t>
  </si>
  <si>
    <t>岡藤社長トピックス（2017年度以前）</t>
  </si>
  <si>
    <t>https://itochucorp.sharepoint.com/sites/intra/SitePages/岡藤社長トピックス（2017年度以前）.aspx</t>
  </si>
  <si>
    <t>df214f8a-3ecb-47ed-9101-5a7572aac810</t>
  </si>
  <si>
    <t>岡藤社長メッセージ（2015年度以前）</t>
  </si>
  <si>
    <t>https://itochucorp.sharepoint.com/sites/intra-Archive/Lists/List40501/AllItems.aspx</t>
  </si>
  <si>
    <t>badb33c9-2478-4b06-a0bf-504a00b45bc3</t>
  </si>
  <si>
    <t>岡藤社長トピックス（2015年度以前）</t>
  </si>
  <si>
    <t>https://itochucorp.sharepoint.com/sites/intra-Archive/TopicArchive/President/index_2016.aspx</t>
  </si>
  <si>
    <t>8ca8a20d-5e44-402e-a56b-530a5f8ede87</t>
  </si>
  <si>
    <t>「請求書等のオンデマンド印刷」及び「電子帳票基盤のRVからSPAISへの移行」について</t>
  </si>
  <si>
    <t>https://itochucorp.sharepoint.com/sites/intra-tokgv-MHANA/Lists/List002/DispForm.aspx?ID=202</t>
  </si>
  <si>
    <t>[ "spais", "SPAIS", "rv", "RV" ]</t>
  </si>
  <si>
    <t>[ "spais", "SPAIS", "rv", "RV", "電子帳票", "オンデマンド印刷", "帳票WEB配信" ]</t>
  </si>
  <si>
    <t>[ "育児", "妊娠", "出産" ]</t>
  </si>
  <si>
    <t>c75e53d1-69ab-4f33-ab4e-37bf4e9eb5e5</t>
  </si>
  <si>
    <t>[ "概況表", "事業会社概況表", "事業会社区分", "分身会社" ]</t>
  </si>
  <si>
    <t>66777994-40f5-47ee-a1c6-b41be39021a8</t>
  </si>
  <si>
    <t>キッザニア東京 伊藤忠パビリオンのご紹介</t>
  </si>
  <si>
    <t>[ "キッザニア" ]</t>
  </si>
  <si>
    <t>[ "反社チェック", "反社システム", "反社" ]</t>
  </si>
  <si>
    <t>[ "朝活セミナー", "朝活" ]</t>
  </si>
  <si>
    <t>[ "SkyPDF", "Skypdf", "skypdf", "スカイpdf" ]</t>
  </si>
  <si>
    <t>f3d5c265-abd3-4c78-a486-def618b889aa</t>
  </si>
  <si>
    <t>ワクチンの追加接種（3回目）について（予約詳細）</t>
  </si>
  <si>
    <t>https://itochucorp.sharepoint.com/sites/intra-info/Lists/WhatsNew/DispForm.aspx?ID=10575</t>
  </si>
  <si>
    <t>[ "DocuSign", "ドキュサイン", "契約書", "サイン", "電子署名", "署名", "電子契約" ]</t>
  </si>
  <si>
    <t>[ "電子署名・私印", "電子契約・捺印", "電子署名", "私印", "電子契約", "電子捺印", "捺印" ]</t>
  </si>
  <si>
    <t>[ "安否確認サービス", "安否確認", "セコム安否確認", "安否確認サービス　ログイン", "安否確認サービス ログイン" ]</t>
  </si>
  <si>
    <t>[ "べんりねっと", "事務用品", "文具", "封筒" ]</t>
  </si>
  <si>
    <t>[ "捺印", "社用印章", "社用印章マニュアル", "捺印マニュアル", "包括記名依頼書" ]</t>
  </si>
  <si>
    <t>[ "文書管理、文書保存、文書削減", "文書管理", "文書保存", "文書削減" ]</t>
  </si>
  <si>
    <t>[ "文書管理規則", "文書管理", "文書管理規定" ]</t>
  </si>
  <si>
    <t>[ "文書管理", "文書保存", "文書保存年限表" ]</t>
  </si>
  <si>
    <t>[ "文書保存箱", "文書保存箱管理", "文書保存箱管理システム" ]</t>
  </si>
  <si>
    <t>[ "コピー", "コピ", "コピーサービス", "プリント", "プリントサービス" ]</t>
  </si>
  <si>
    <t>[ "会議室", "設備予約" ]</t>
  </si>
  <si>
    <t>[ "来客", "受付", "来客予約" ]</t>
  </si>
  <si>
    <t>[ "社名入り", "ノベルティ" ]</t>
  </si>
  <si>
    <t>[ "防災" ]</t>
  </si>
  <si>
    <t>AsIs</t>
    <phoneticPr fontId="6"/>
  </si>
  <si>
    <t>変更</t>
    <rPh sb="0" eb="2">
      <t>ヘンコウ</t>
    </rPh>
    <phoneticPr fontId="6"/>
  </si>
  <si>
    <t>変更後</t>
    <rPh sb="0" eb="2">
      <t>ヘンコウ</t>
    </rPh>
    <rPh sb="2" eb="3">
      <t>ゴ</t>
    </rPh>
    <phoneticPr fontId="6"/>
  </si>
  <si>
    <t>変更サマリ</t>
    <rPh sb="0" eb="2">
      <t>ヘンコウ</t>
    </rPh>
    <phoneticPr fontId="6"/>
  </si>
  <si>
    <t>種別</t>
    <rPh sb="0" eb="2">
      <t>シュベツ</t>
    </rPh>
    <phoneticPr fontId="6"/>
  </si>
  <si>
    <t>TITLE</t>
    <phoneticPr fontId="6"/>
  </si>
  <si>
    <t>URL</t>
    <phoneticPr fontId="6"/>
  </si>
  <si>
    <t>KEYWORD</t>
    <phoneticPr fontId="6"/>
  </si>
  <si>
    <t>COMMENT</t>
    <phoneticPr fontId="6"/>
  </si>
  <si>
    <t>PRIORITY</t>
    <phoneticPr fontId="6"/>
  </si>
  <si>
    <t>変更種別</t>
    <rPh sb="0" eb="2">
      <t>ヘンコウ</t>
    </rPh>
    <rPh sb="2" eb="4">
      <t>シュベツ</t>
    </rPh>
    <phoneticPr fontId="6"/>
  </si>
  <si>
    <t>title / 変更</t>
    <rPh sb="8" eb="10">
      <t>ヘンコウ</t>
    </rPh>
    <phoneticPr fontId="6"/>
  </si>
  <si>
    <t>url / 変更</t>
    <rPh sb="6" eb="8">
      <t>ヘンコウ</t>
    </rPh>
    <phoneticPr fontId="6"/>
  </si>
  <si>
    <t>keywords / 変更</t>
    <rPh sb="11" eb="13">
      <t>ヘンコウ</t>
    </rPh>
    <phoneticPr fontId="6"/>
  </si>
  <si>
    <t>comment / 変更</t>
    <rPh sb="10" eb="12">
      <t>ヘンコウ</t>
    </rPh>
    <phoneticPr fontId="6"/>
  </si>
  <si>
    <t>priority / 変更後</t>
    <rPh sb="11" eb="13">
      <t>ヘンコウ</t>
    </rPh>
    <rPh sb="13" eb="14">
      <t>ゴ</t>
    </rPh>
    <phoneticPr fontId="6"/>
  </si>
  <si>
    <t>変更理由</t>
    <rPh sb="0" eb="2">
      <t>ヘンコウ</t>
    </rPh>
    <rPh sb="2" eb="4">
      <t>リユウ</t>
    </rPh>
    <phoneticPr fontId="6"/>
  </si>
  <si>
    <t>_ex2</t>
  </si>
  <si>
    <t>_opcode2</t>
    <phoneticPr fontId="6"/>
  </si>
  <si>
    <t>id2</t>
    <phoneticPr fontId="6"/>
  </si>
  <si>
    <t>title2</t>
    <phoneticPr fontId="6"/>
  </si>
  <si>
    <t>url2</t>
    <phoneticPr fontId="6"/>
  </si>
  <si>
    <t>keywords2</t>
    <phoneticPr fontId="6"/>
  </si>
  <si>
    <t>comment2</t>
    <phoneticPr fontId="6"/>
  </si>
  <si>
    <t>priority2</t>
    <phoneticPr fontId="6"/>
  </si>
  <si>
    <t>1</t>
  </si>
  <si>
    <t>[ "研修", "育成", "教育", "研鑽", "海外赴任前研修", "海外赴任前", "海外赴任", "LB英語試験", "LB", "リンガスキル", "英語試験", "TSST試験", "TSST", "SST試験", "SST", "TOEIC試験", "TOEIC", "キャリアビジョン支援研修", "キャリアビジョン", "基礎コース" ]</t>
    <rPh sb="110" eb="112">
      <t>シケン</t>
    </rPh>
    <phoneticPr fontId="6"/>
  </si>
  <si>
    <t>[ "mbo", "ｍｂｏ", "目標管理", "目標" ]</t>
    <phoneticPr fontId="6"/>
  </si>
  <si>
    <t>削除</t>
    <rPh sb="0" eb="2">
      <t>サクジョ</t>
    </rPh>
    <phoneticPr fontId="6"/>
  </si>
  <si>
    <t>「福利厚生」から参照可能なため削除</t>
  </si>
  <si>
    <t>title: 社宅・寮 関連申請書 に集約するため、削除</t>
    <rPh sb="19" eb="21">
      <t>シュウヤク</t>
    </rPh>
    <rPh sb="26" eb="28">
      <t>サクジョ</t>
    </rPh>
    <phoneticPr fontId="6"/>
  </si>
  <si>
    <t>2225d5f2-9a21-46f6-9952-42533df0ed26</t>
    <phoneticPr fontId="6"/>
  </si>
  <si>
    <t>HRポータル</t>
    <phoneticPr fontId="6"/>
  </si>
  <si>
    <t>URLが存在しないため削除</t>
  </si>
  <si>
    <t>URLが存在しないため削除</t>
    <phoneticPr fontId="6"/>
  </si>
  <si>
    <t>id: 2225d5f2-9a21-46f6-9952-42533df0ed26 に集約するため、削除</t>
    <rPh sb="42" eb="44">
      <t>シュウヤク</t>
    </rPh>
    <rPh sb="49" eb="51">
      <t>サクジョ</t>
    </rPh>
    <phoneticPr fontId="6"/>
  </si>
  <si>
    <t>2023年度変動給支給日</t>
    <phoneticPr fontId="6"/>
  </si>
  <si>
    <t>https://itochucorp.sharepoint.com/sites/intra-tokpj_hr/Lists/List42401/DispForm.aspx?ID=2091</t>
  </si>
  <si>
    <t>最新の情報に修正</t>
    <rPh sb="0" eb="2">
      <t>サイシン</t>
    </rPh>
    <rPh sb="3" eb="5">
      <t>ジョウホウ</t>
    </rPh>
    <rPh sb="6" eb="8">
      <t>シュウセイ</t>
    </rPh>
    <phoneticPr fontId="6"/>
  </si>
  <si>
    <t>2023年6月度 変動給賦課の精算について</t>
    <phoneticPr fontId="6"/>
  </si>
  <si>
    <t>https://itochucorp.sharepoint.com/sites/intra-tokpj_hr/Lists/List42401/Attachments/2134/人総連第23-14号_2023年6月度変動給賦課の精算について.pdf</t>
    <phoneticPr fontId="6"/>
  </si>
  <si>
    <t>重複しているため削除</t>
    <phoneticPr fontId="6"/>
  </si>
  <si>
    <t>2023年度 リフレッシュ休暇について</t>
    <phoneticPr fontId="6"/>
  </si>
  <si>
    <t>https://itochucorp.sharepoint.com/sites/intra-tokpj_hr/Lists/List42401/DispForm.aspx?ID=2087</t>
    <phoneticPr fontId="6"/>
  </si>
  <si>
    <t>伊藤忠アプリは廃止済みの為</t>
    <rPh sb="0" eb="3">
      <t>イトウチュウ</t>
    </rPh>
    <rPh sb="7" eb="9">
      <t>ハイシ</t>
    </rPh>
    <rPh sb="9" eb="10">
      <t>ズ</t>
    </rPh>
    <rPh sb="12" eb="13">
      <t>タメ</t>
    </rPh>
    <phoneticPr fontId="6"/>
  </si>
  <si>
    <t>[ "idm", "ｉｄｍ", "id統合", "ｉｄ統合", "id統合管理", "ｉｄ統合管理", "id統合管理システム", "ｉｄ統合管理システム", "機構変更", "機変", "基本id", "基本ｉｄ", "無線LAN", "メール継続利用", "社員外ユーザー", "id登録", "ｉｄ登録", "id申請", "ｉｄ申請", "個別システム", "メールアドレス", "氏名変更", "案件", "利用停止", "受講免除", "延長申請", "組織権限", "権限委譲", "承認者", "個人宛て", "委譲設定", "申請案件" ]</t>
    <rPh sb="45" eb="47">
      <t>トウゴウ</t>
    </rPh>
    <phoneticPr fontId="6"/>
  </si>
  <si>
    <t>2017年度社内負担金にかかる賦課単価について</t>
    <phoneticPr fontId="6"/>
  </si>
  <si>
    <t>2023年度社内負担金にかかる賦課単価について</t>
  </si>
  <si>
    <t>https://itochucorp.sharepoint.com/sites/intra-tokgn/Lists/List003/DispForm.aspx?ID=1415</t>
  </si>
  <si>
    <t>https://itochucorp.sharepoint.com/sites/intra-tokgn/Shared%20Documents/kitei/商取引管理規程解説書_230401.pdf</t>
  </si>
  <si>
    <t>[ "vat", "ｖａｔ", "付加価値税" ]</t>
    <phoneticPr fontId="6"/>
  </si>
  <si>
    <t>https://itochucorp.sharepoint.com/sites/intra-tokgn/Lists/List004/DispForm.aspx?ID=955</t>
    <phoneticPr fontId="6"/>
  </si>
  <si>
    <t>[ "デリバティブ", "前払費用" ]</t>
    <phoneticPr fontId="6"/>
  </si>
  <si>
    <t>id: c5800719-f4a8-4b23-8d03-35da18297a56 に集約するため、削除</t>
    <rPh sb="42" eb="44">
      <t>シュウヤク</t>
    </rPh>
    <rPh sb="49" eb="51">
      <t>サクジョ</t>
    </rPh>
    <phoneticPr fontId="6"/>
  </si>
  <si>
    <t>重複しているので削除</t>
  </si>
  <si>
    <t>[ "zoom", "ｚｏｏｍ" ]</t>
    <phoneticPr fontId="6"/>
  </si>
  <si>
    <t>https://itochucorp.sharepoint.com/sites/intra-tokgv-tel_fax</t>
  </si>
  <si>
    <t>[ "box", "ｂｏｘ" ]</t>
    <phoneticPr fontId="6"/>
  </si>
  <si>
    <t>BlackBerry システムが廃止済みの為</t>
    <rPh sb="16" eb="18">
      <t>ハイシ</t>
    </rPh>
    <rPh sb="18" eb="19">
      <t>ズ</t>
    </rPh>
    <rPh sb="21" eb="22">
      <t>タメ</t>
    </rPh>
    <phoneticPr fontId="6"/>
  </si>
  <si>
    <t>[ "mhana", "ｍｈａｎａ", "sap", "ｓａｐ", "mission", "ｍｉｓｓｉｏｎ", "mission21", "ｍｉｓｓｉｏｎ２１" ]</t>
    <phoneticPr fontId="6"/>
  </si>
  <si>
    <t>[ "hanabi", "ｈａｎａｂｉ" ]</t>
    <phoneticPr fontId="6"/>
  </si>
  <si>
    <t>[ "unicorn", "ｕｎｉｃｏｒｎ" ]</t>
    <phoneticPr fontId="6"/>
  </si>
  <si>
    <t>[ "ipad", "ｉｐａｄ" ]</t>
    <phoneticPr fontId="6"/>
  </si>
  <si>
    <t>[ "people", "ｐｅｏｐｌｅ" ]</t>
    <phoneticPr fontId="6"/>
  </si>
  <si>
    <t>[ "people", "ｐｅｏｐｌｅ", "写真", "マイタブ" ]</t>
    <phoneticPr fontId="6"/>
  </si>
  <si>
    <t>[ "ecp", "ｅｃｐ", "貿易管理", "貿易管理プログラム" ]</t>
    <phoneticPr fontId="6"/>
  </si>
  <si>
    <t>[ "dhl", "ｄｈｌ" ]</t>
    <phoneticPr fontId="6"/>
  </si>
  <si>
    <t>[ "teams", "ｔｅａｍｓ" ]</t>
    <phoneticPr fontId="6"/>
  </si>
  <si>
    <t>[ "i-trade", "ｉ－ｔｒａｄｅ" ]</t>
    <phoneticPr fontId="6"/>
  </si>
  <si>
    <t>https://itochucorp.sharepoint.com/sites/intra-tokgv-mail/SitePages/mail_win10_settei.aspx#｜owa(outlook-on-the-web)操作手順</t>
  </si>
  <si>
    <t>[ "owa", "ｏｗａ" ]</t>
    <phoneticPr fontId="6"/>
  </si>
  <si>
    <t>[ "sansan", "ｓａｎｓａｎ" ]</t>
    <phoneticPr fontId="6"/>
  </si>
  <si>
    <t>[ "e-learning", "ｅ－ｌｅａｒｎｉｎｇ", "eラーニング", "ｅラーニング" ]</t>
    <phoneticPr fontId="6"/>
  </si>
  <si>
    <t>https://itochucorp.sharepoint.com/sites/intra-e-learning/SitePages/index.aspx</t>
  </si>
  <si>
    <t>[ "どこでもlan", "どこでもｌａｎ", "どこlan", "どこｌａｎ" ]</t>
    <phoneticPr fontId="6"/>
  </si>
  <si>
    <t>[ "i-star", "ｉ－ｓｔａｒ" ]</t>
    <phoneticPr fontId="6"/>
  </si>
  <si>
    <t>[ "stravis", "ｓｔｒａｖｉｓ" ]</t>
    <phoneticPr fontId="6"/>
  </si>
  <si>
    <t>https://itochucorp.sharepoint.com/sites/extra-tokgq/SitePages/FX-Mail関連.aspx</t>
    <rPh sb="69" eb="71">
      <t>カンレン</t>
    </rPh>
    <phoneticPr fontId="6"/>
  </si>
  <si>
    <t>[ "fx-mail", "ｆｘ－ｍａｉｌ" ]</t>
    <phoneticPr fontId="6"/>
  </si>
  <si>
    <t>[ "rpa", "ｒｐａ", "ロボット" ]</t>
    <phoneticPr fontId="6"/>
  </si>
  <si>
    <t>https://itochucorp.sharepoint.com/sites/intra-tokgv-mail/SitePages/mail_win10_shinsei.aspx#｜メーリングリスト作成・削除-管理者変更申請</t>
  </si>
  <si>
    <t>id: bed67cb8-837e-46a5-bbfb-867eceb88bb5 と重複しているため、削除</t>
    <rPh sb="42" eb="44">
      <t>チョウフク</t>
    </rPh>
    <rPh sb="51" eb="53">
      <t>サクジョ</t>
    </rPh>
    <phoneticPr fontId="6"/>
  </si>
  <si>
    <t>https://itochucorp.sharepoint.com/sites/intra-tokpj_hr/SitePages/seido/制度一覧.aspx</t>
    <phoneticPr fontId="6"/>
  </si>
  <si>
    <t>id: 2410f285-42b2-4798-a9ff-38c52c5772fe に集約するため、削除</t>
    <rPh sb="42" eb="44">
      <t>シュウヤク</t>
    </rPh>
    <rPh sb="49" eb="51">
      <t>サクジョ</t>
    </rPh>
    <phoneticPr fontId="6"/>
  </si>
  <si>
    <t>id: c75e53d1-69ab-4f33-ab4e-37bf4e9eb5e5 に集約するため、削除</t>
    <rPh sb="42" eb="44">
      <t>シュウヤク</t>
    </rPh>
    <rPh sb="49" eb="51">
      <t>サクジョ</t>
    </rPh>
    <phoneticPr fontId="6"/>
  </si>
  <si>
    <t>[ "110", "１１０", "110運動", "１１０運動" ]</t>
    <phoneticPr fontId="6"/>
  </si>
  <si>
    <t>[ "hmc", "ｈｍｃ" ]</t>
    <phoneticPr fontId="6"/>
  </si>
  <si>
    <t>be80d5db-ec88-4048-b4b9-f397d0db32b8</t>
    <phoneticPr fontId="6"/>
  </si>
  <si>
    <t>[ "資格取得届" ]</t>
    <phoneticPr fontId="6"/>
  </si>
  <si>
    <t>2410f285-42b2-4798-a9ff-38c52c5772fe</t>
    <phoneticPr fontId="6"/>
  </si>
  <si>
    <t>[ "band", "ｂａｎｄ", "grade", "ｇｒａｄｅ", "rank", "ｒａｎｋ", "昇格", "能力評価", "職務調査", "資格取得届", "名刺", "名刺タイトル" ]</t>
    <phoneticPr fontId="6"/>
  </si>
  <si>
    <t>[ "コロナ", "コロナウィルス", "bcp", "ｂｃｐ", "在宅勤務", "新型コロナ", "新型コロナウイルス", "コロナウイルス", "コロナウィルスへの対応" ]</t>
    <phoneticPr fontId="6"/>
  </si>
  <si>
    <t>新型コロナ関連のお知らせのため削除</t>
    <phoneticPr fontId="6"/>
  </si>
  <si>
    <t>id: c07e8b16-66ca-4a1e-9ffb-4e87716e4aec に集約するため、削除</t>
    <rPh sb="42" eb="44">
      <t>シュウヤク</t>
    </rPh>
    <rPh sb="49" eb="51">
      <t>サクジョ</t>
    </rPh>
    <phoneticPr fontId="6"/>
  </si>
  <si>
    <t>[ "webex", "ｗｅｂｅｘ", "webexcalling", "ｗｅｂｅｘｃａｌｌｉｎｇ", "どこでも内線", "内線" ]</t>
    <phoneticPr fontId="6"/>
  </si>
  <si>
    <t>[ "申請書ポータル", "agileworks", "ａｇｉｌｅｗｏｒｋｓ", "agile", "ａｇｉｌｅ" ]</t>
    <phoneticPr fontId="6"/>
  </si>
  <si>
    <t>[ "wifi", "wi-fi", "WiFi", "Wi-Fi" ]</t>
    <phoneticPr fontId="6"/>
  </si>
  <si>
    <t>https://itochucorp.sharepoint.com/sites/intra-tokgv-itochu_wifi</t>
  </si>
  <si>
    <t>[ "wifi", "ｗｉｆｉ", "wi-fi", "ｗｉ－ｆｉ" ]</t>
    <phoneticPr fontId="6"/>
  </si>
  <si>
    <t>[ "wifi", "wi-fi", "WiFi", "Wi-Fi", "guestwifi", "GuestWi-Fi", "ゲストwifi" ]</t>
    <phoneticPr fontId="6"/>
  </si>
  <si>
    <t>https://itochucorp.sharepoint.com/sites/intra-tokgv-itochu_wifi/guest_wifi/Guest_Wi-Fi_Info.pdf</t>
  </si>
  <si>
    <t>https://itochucorp.sharepoint.com/sites/intra-messages/SitePages/MessagesFromChairman.aspx</t>
  </si>
  <si>
    <t>[ "岡藤", "岡藤会長", "岡藤会長ceo", "岡藤会長ｃｅｏ", "会長", "ceo", "ｃｅｏ", "会長ceo", "会長ｃｅｏ" ]</t>
    <phoneticPr fontId="6"/>
  </si>
  <si>
    <t>https://itochucorp.sharepoint.com/sites/intra-topics/SitePages/TopicsFromChairman.aspx</t>
  </si>
  <si>
    <t>https://itochucorp.sharepoint.com/sites/intra-archive/Lists/MessageFromPresident/Public2.aspx</t>
    <phoneticPr fontId="6"/>
  </si>
  <si>
    <t>[ "spais", "ｓｐａｉｓ", "rv", "ｒｖ", "電子帳票", "オンデマンド印刷", "帳票web配信", "帳票ｗｅｂ配信" ]</t>
    <phoneticPr fontId="6"/>
  </si>
  <si>
    <t>[ "概況表", "事業会社概況表", "事業会社区分", "分身会社", "統合会社コード" ]</t>
    <phoneticPr fontId="6"/>
  </si>
  <si>
    <t>https://group-intra.itochu.co.jp/tokcr/Shared%20Documents/kidzania/kidzania.aspx</t>
    <phoneticPr fontId="6"/>
  </si>
  <si>
    <t>[ "skypdf", "ｓｋｙｐｄｆ", "スカイpdf", "スカイｐｄｆ" ]</t>
    <phoneticPr fontId="6"/>
  </si>
  <si>
    <t>新型コロナ関連のお知らせのため削除</t>
  </si>
  <si>
    <t>[ "docusign", "ｄｏｃｕｓｉｇｎ", "ドキュサイン", "契約書", "サイン", "電子署名", "署名", "電子契約" ]</t>
    <phoneticPr fontId="6"/>
  </si>
  <si>
    <t>https://itochucorp.sharepoint.com/sites/intra-tokgv-denshi-shomei-shiin</t>
  </si>
  <si>
    <t>https://group-intra.itochu.co.jp/sites/tokpj_ga/</t>
  </si>
  <si>
    <t>新規</t>
    <rPh sb="0" eb="2">
      <t>シンキ</t>
    </rPh>
    <phoneticPr fontId="6"/>
  </si>
  <si>
    <t>社宅・寮 関連申請書</t>
    <rPh sb="0" eb="2">
      <t>シャタク</t>
    </rPh>
    <rPh sb="3" eb="4">
      <t>リョウ</t>
    </rPh>
    <rPh sb="5" eb="7">
      <t>カンレン</t>
    </rPh>
    <rPh sb="7" eb="10">
      <t>シンセイショ</t>
    </rPh>
    <phoneticPr fontId="6"/>
  </si>
  <si>
    <t>https://itochucorp.sharepoint.com/sites/intra-form/DocLib006/Forms/AllItems.aspx?FilterField1=Category&amp;FilterValue1=03.給与・厚生関連&amp;FilterField2=Category2&amp;FilterValue2=04.福利厚生関連</t>
    <phoneticPr fontId="6"/>
  </si>
  <si>
    <t>[ "社宅", "社宅申請書", "寮", "寮申請書", "日吉寮", "日吉" ]</t>
    <rPh sb="3" eb="5">
      <t>シャタク</t>
    </rPh>
    <rPh sb="9" eb="11">
      <t>シャタク</t>
    </rPh>
    <rPh sb="11" eb="14">
      <t>シンセイショ</t>
    </rPh>
    <rPh sb="18" eb="19">
      <t>リョウ</t>
    </rPh>
    <rPh sb="23" eb="24">
      <t>リョウ</t>
    </rPh>
    <rPh sb="24" eb="27">
      <t>シンセイショ</t>
    </rPh>
    <phoneticPr fontId="6"/>
  </si>
  <si>
    <t>https://itochucorp.sharepoint.com/sites/intra-tokgv-kinmu</t>
    <phoneticPr fontId="6"/>
  </si>
  <si>
    <t>勤務管理 FAQ</t>
    <rPh sb="0" eb="2">
      <t>キンム</t>
    </rPh>
    <rPh sb="2" eb="4">
      <t>カンリ</t>
    </rPh>
    <phoneticPr fontId="6"/>
  </si>
  <si>
    <t>https://itochucorp.sharepoint.com/sites/intra-tokgv-kinmu/Lists/kinmu_faq</t>
  </si>
  <si>
    <t>https://itochucorp.sharepoint.com/sites/intra-tokgv-keihi</t>
    <phoneticPr fontId="6"/>
  </si>
  <si>
    <t>経費精算 FAQ</t>
    <rPh sb="0" eb="2">
      <t>ケイヒ</t>
    </rPh>
    <rPh sb="2" eb="4">
      <t>セイサン</t>
    </rPh>
    <phoneticPr fontId="6"/>
  </si>
  <si>
    <t>https://itochucorp.sharepoint.com/sites/intra-tokgv-keihi/Lists/keihi_faq</t>
    <phoneticPr fontId="6"/>
  </si>
  <si>
    <t>①AsIsにadvertisement.tsvを値貼り付け</t>
    <rPh sb="24" eb="26">
      <t>アタイハ</t>
    </rPh>
    <rPh sb="27" eb="28">
      <t>ツ</t>
    </rPh>
    <phoneticPr fontId="1"/>
  </si>
  <si>
    <t>②変更に変更種別、変更内容を記載</t>
    <rPh sb="1" eb="3">
      <t>ヘンコウ</t>
    </rPh>
    <rPh sb="4" eb="8">
      <t>ヘンコウシュベツ</t>
    </rPh>
    <rPh sb="9" eb="13">
      <t>ヘンコウナイヨウ</t>
    </rPh>
    <rPh sb="14" eb="16">
      <t>キサイ</t>
    </rPh>
    <phoneticPr fontId="1"/>
  </si>
  <si>
    <r>
      <t>③ヘッダ部分を除いた変更後をコピーし、SAKURAエディタに</t>
    </r>
    <r>
      <rPr>
        <b/>
        <sz val="11"/>
        <color rgb="FFFF0000"/>
        <rFont val="Meiryo UI"/>
        <family val="3"/>
        <charset val="128"/>
        <scheme val="minor"/>
      </rPr>
      <t>貼り付け</t>
    </r>
    <rPh sb="4" eb="6">
      <t>ブブン</t>
    </rPh>
    <rPh sb="7" eb="8">
      <t>ノゾ</t>
    </rPh>
    <rPh sb="10" eb="13">
      <t>ヘンコウゴ</t>
    </rPh>
    <rPh sb="30" eb="31">
      <t>ハ</t>
    </rPh>
    <rPh sb="32" eb="33">
      <t>ツ</t>
    </rPh>
    <phoneticPr fontId="6"/>
  </si>
  <si>
    <t>キーワード重複やURL変更、タイトルの変更など精査し、変更種別、変更内容を</t>
    <rPh sb="5" eb="7">
      <t>チョウフク</t>
    </rPh>
    <rPh sb="11" eb="13">
      <t>ヘンコウ</t>
    </rPh>
    <rPh sb="19" eb="21">
      <t>ヘンコウ</t>
    </rPh>
    <rPh sb="23" eb="25">
      <t>セイサ</t>
    </rPh>
    <rPh sb="27" eb="29">
      <t>ヘンコウ</t>
    </rPh>
    <rPh sb="29" eb="31">
      <t>シュベツ</t>
    </rPh>
    <rPh sb="32" eb="34">
      <t>ヘンコウ</t>
    </rPh>
    <rPh sb="34" eb="36">
      <t>ナイヨウ</t>
    </rPh>
    <phoneticPr fontId="1"/>
  </si>
  <si>
    <r>
      <t>「advertisement.tsv編集」シートの</t>
    </r>
    <r>
      <rPr>
        <b/>
        <sz val="11"/>
        <color theme="1"/>
        <rFont val="Meiryo UI"/>
        <family val="3"/>
        <charset val="128"/>
        <scheme val="minor"/>
      </rPr>
      <t>AsIs</t>
    </r>
    <r>
      <rPr>
        <sz val="11"/>
        <color theme="1"/>
        <rFont val="Meiryo UI"/>
        <family val="2"/>
        <charset val="128"/>
        <scheme val="minor"/>
      </rPr>
      <t>に 出力した advertisement.tsv を値貼り付けする</t>
    </r>
    <rPh sb="31" eb="33">
      <t>シュツリョク</t>
    </rPh>
    <rPh sb="55" eb="57">
      <t>アタイハ</t>
    </rPh>
    <rPh sb="58" eb="59">
      <t>ツ</t>
    </rPh>
    <phoneticPr fontId="1"/>
  </si>
  <si>
    <r>
      <t>「advertisement.tsv編集」シートの</t>
    </r>
    <r>
      <rPr>
        <b/>
        <sz val="11"/>
        <color theme="1"/>
        <rFont val="Meiryo UI"/>
        <family val="3"/>
        <charset val="128"/>
        <scheme val="minor"/>
      </rPr>
      <t>変更</t>
    </r>
    <r>
      <rPr>
        <sz val="11"/>
        <color theme="1"/>
        <rFont val="Meiryo UI"/>
        <family val="2"/>
        <charset val="128"/>
        <scheme val="minor"/>
      </rPr>
      <t>に記載する</t>
    </r>
    <rPh sb="18" eb="20">
      <t>ヘンシュウ</t>
    </rPh>
    <rPh sb="25" eb="27">
      <t>ヘンコウ</t>
    </rPh>
    <rPh sb="28" eb="30">
      <t>キサイ</t>
    </rPh>
    <phoneticPr fontId="1"/>
  </si>
  <si>
    <r>
      <t>「advertisement.tsv編集」シートの</t>
    </r>
    <r>
      <rPr>
        <b/>
        <sz val="11"/>
        <color theme="1"/>
        <rFont val="Meiryo UI"/>
        <family val="3"/>
        <charset val="128"/>
        <scheme val="minor"/>
      </rPr>
      <t>変更後</t>
    </r>
    <r>
      <rPr>
        <sz val="11"/>
        <color theme="1"/>
        <rFont val="Meiryo UI"/>
        <family val="3"/>
        <charset val="128"/>
        <scheme val="minor"/>
      </rPr>
      <t>をコピーし、SAKURAエディタに貼り付ける</t>
    </r>
    <rPh sb="18" eb="20">
      <t>ヘンシュウ</t>
    </rPh>
    <rPh sb="25" eb="28">
      <t>ヘンコウゴ</t>
    </rPh>
    <rPh sb="45" eb="46">
      <t>ハ</t>
    </rPh>
    <rPh sb="47" eb="48">
      <t>ツ</t>
    </rPh>
    <phoneticPr fontId="1"/>
  </si>
  <si>
    <t>貼り付けたSAKURAエディタの先頭行を改行</t>
    <rPh sb="0" eb="1">
      <t>ハ</t>
    </rPh>
    <rPh sb="2" eb="3">
      <t>ツ</t>
    </rPh>
    <rPh sb="16" eb="19">
      <t>セントウギョウ</t>
    </rPh>
    <rPh sb="20" eb="22">
      <t>カイギョウ</t>
    </rPh>
    <phoneticPr fontId="1"/>
  </si>
  <si>
    <r>
      <rPr>
        <b/>
        <sz val="11"/>
        <color theme="1"/>
        <rFont val="Meiryo UI"/>
        <family val="3"/>
        <charset val="128"/>
        <scheme val="minor"/>
      </rPr>
      <t>AsIs</t>
    </r>
    <r>
      <rPr>
        <sz val="11"/>
        <color theme="1"/>
        <rFont val="Meiryo UI"/>
        <family val="2"/>
        <charset val="128"/>
        <scheme val="minor"/>
      </rPr>
      <t>のヘッダ部分をコピーし貼り付ける</t>
    </r>
    <rPh sb="8" eb="10">
      <t>ブブン</t>
    </rPh>
    <rPh sb="15" eb="16">
      <t>ハ</t>
    </rPh>
    <rPh sb="17" eb="18">
      <t>ツ</t>
    </rPh>
    <phoneticPr fontId="1"/>
  </si>
  <si>
    <t>SAKURAエディタを 以下に保存</t>
    <rPh sb="12" eb="14">
      <t>イカ</t>
    </rPh>
    <rPh sb="15" eb="17">
      <t>ホゾン</t>
    </rPh>
    <phoneticPr fontId="1"/>
  </si>
  <si>
    <t>advertisement.tsv</t>
    <phoneticPr fontId="1"/>
  </si>
  <si>
    <t>■格納先</t>
    <rPh sb="1" eb="3">
      <t>カクノウ</t>
    </rPh>
    <rPh sb="3" eb="4">
      <t>サキ</t>
    </rPh>
    <phoneticPr fontId="1"/>
  </si>
  <si>
    <t>[ "ワークフロー", "勤務", "勤務簿", "勤務管理" ]</t>
    <rPh sb="26" eb="28">
      <t>キンム</t>
    </rPh>
    <rPh sb="28" eb="30">
      <t>カンリ</t>
    </rPh>
    <phoneticPr fontId="6"/>
  </si>
  <si>
    <t>勤務簿</t>
    <rPh sb="0" eb="3">
      <t>キンムボ</t>
    </rPh>
    <phoneticPr fontId="6"/>
  </si>
  <si>
    <t>経費精算</t>
    <rPh sb="0" eb="4">
      <t>ケイヒセイサン</t>
    </rPh>
    <phoneticPr fontId="6"/>
  </si>
  <si>
    <t>[ "ワークフロー", "出張", "国内出張", "海外出張", "経費精算", "精算", "市内交通費", "事前申請", "３ｋ", "3k", "海外旅費", "追加入力者", "追加入力", "国内旅費", "代理起票", "チケット仮払い" ]</t>
    <phoneticPr fontId="6"/>
  </si>
  <si>
    <t>[ "勤務", "勤務簿", "勤務管理" ]</t>
    <phoneticPr fontId="6"/>
  </si>
  <si>
    <t>[ "出張", "国内出張", "海外出張", "経費精算", "精算", "市内交通費", "事前申請", "３ｋ", "3k", "海外旅費", "追加入力者", "追加入力", "国内旅費", "代理起票", "チケット仮払い"  ]</t>
    <phoneticPr fontId="6"/>
  </si>
  <si>
    <t>経費精算 FAQ</t>
  </si>
  <si>
    <t>https://itochucorp.sharepoint.com/sites/intra-tokgv-keihi/Lists/keihi_faq</t>
  </si>
  <si>
    <t>3k</t>
  </si>
  <si>
    <t>https://itochucorp.sharepoint.com/sites/intra-tokgv-keihi</t>
  </si>
  <si>
    <t>３ｋ</t>
  </si>
  <si>
    <t>https://itochucorp.sharepoint.com/sites/intra-tokgv-kinmu</t>
  </si>
  <si>
    <t>勤務管理 FAQ</t>
  </si>
  <si>
    <t>勤務管理</t>
  </si>
  <si>
    <t>社宅・寮 関連申請書</t>
  </si>
  <si>
    <t>https://itochucorp.sharepoint.com/sites/intra-form/DocLib006/Forms/AllItems.aspx?FilterField1=Category&amp;FilterValue1=03.給与・厚生関連&amp;FilterField2=Category2&amp;FilterValue2=04.福利厚生関連</t>
  </si>
  <si>
    <t>１１０運動</t>
  </si>
  <si>
    <t>2410f285-42b2-4798-a9ff-38c52c5772fe</t>
  </si>
  <si>
    <t>band通知書</t>
  </si>
  <si>
    <t>ｂａｎｄ通知書</t>
  </si>
  <si>
    <t>ceo</t>
  </si>
  <si>
    <t>https://itochucorp.sharepoint.com/sites/intra-archive/Lists/MessageFromPresident/Public2.aspx</t>
  </si>
  <si>
    <t>ｃｅｏ</t>
  </si>
  <si>
    <t>https://itochucorp.sharepoint.com/sites/extra-tokgq/SitePages/FX-Mail関連.aspx</t>
  </si>
  <si>
    <t>grade通知書</t>
  </si>
  <si>
    <t>ｇｒａｄｅ通知書</t>
  </si>
  <si>
    <t>idm</t>
  </si>
  <si>
    <t>ｉｄｍ</t>
  </si>
  <si>
    <t>id申請</t>
  </si>
  <si>
    <t>ｉｄ申請</t>
  </si>
  <si>
    <t>id登録</t>
  </si>
  <si>
    <t>ｉｄ登録</t>
  </si>
  <si>
    <t>id統合</t>
  </si>
  <si>
    <t>ｉｄ統合</t>
  </si>
  <si>
    <t>id統合管理</t>
  </si>
  <si>
    <t>ｉｄ統合管理</t>
  </si>
  <si>
    <t>id統合管理システム</t>
  </si>
  <si>
    <t>ｉｄ統合管理システム</t>
  </si>
  <si>
    <t>mission</t>
  </si>
  <si>
    <t>ｍｉｓｓｉｏｎ</t>
  </si>
  <si>
    <t>rpa</t>
  </si>
  <si>
    <t>ｒｐａ</t>
  </si>
  <si>
    <t>SST試験</t>
  </si>
  <si>
    <t>ｖａｔ</t>
  </si>
  <si>
    <t>web評価</t>
  </si>
  <si>
    <t>ｗｅｂ評価</t>
  </si>
  <si>
    <t>どこlan</t>
  </si>
  <si>
    <t>どこｌａｎ</t>
  </si>
  <si>
    <t>どこでもlan</t>
  </si>
  <si>
    <t>どこでもｌａｎ</t>
  </si>
  <si>
    <t>2023年6月度 変動給賦課の精算について</t>
  </si>
  <si>
    <t>https://itochucorp.sharepoint.com/sites/intra-tokpj_hr/Lists/List42401/Attachments/2134/人総連第23-14号_2023年6月度変動給賦課の精算について.pdf</t>
  </si>
  <si>
    <t>リフレッシュ</t>
  </si>
  <si>
    <t>2023年度 リフレッシュ休暇について</t>
  </si>
  <si>
    <t>https://itochucorp.sharepoint.com/sites/intra-tokpj_hr/Lists/List42401/DispForm.aspx?ID=2087</t>
  </si>
  <si>
    <t>リフレッシュ休暇</t>
  </si>
  <si>
    <t>岡藤会長ceo</t>
  </si>
  <si>
    <t>岡藤会長ｃｅｏ</t>
  </si>
  <si>
    <t>会長</t>
  </si>
  <si>
    <t>会長ceo</t>
  </si>
  <si>
    <t>会長ｃｅｏ</t>
  </si>
  <si>
    <t>解雇</t>
  </si>
  <si>
    <t>基本id</t>
  </si>
  <si>
    <t>基本ｉｄ</t>
  </si>
  <si>
    <t>勤続</t>
  </si>
  <si>
    <t>月報</t>
  </si>
  <si>
    <t>人事</t>
  </si>
  <si>
    <t>人事異動</t>
  </si>
  <si>
    <t>帳票web配信</t>
  </si>
  <si>
    <t>帳票ｗｅｂ配信</t>
  </si>
  <si>
    <t>懲戒</t>
  </si>
  <si>
    <t>チケット仮払い</t>
    <phoneticPr fontId="1"/>
  </si>
  <si>
    <t>変更</t>
  </si>
  <si>
    <t>出張</t>
    <phoneticPr fontId="1"/>
  </si>
  <si>
    <t>[ "給与テーブル" ]</t>
    <phoneticPr fontId="6"/>
  </si>
  <si>
    <t>[ "源泉徴収", "源泉徴収表", "源泉", "源泉徴収票", "給与明細",  "band通知書", "ｂａｎｄ通知書", "grade通知書", "ｇｒａｄｅ通知書", "海外給与", "異動決定", "web評価", "ｗｅｂ評価", "身上異動", "医療費", "年末調整", "親展通知", "親展", "通知", "給与", "異動", "年調", "身上", "マイナンバー", "賞与", "ボーナス" ]</t>
    <phoneticPr fontId="6"/>
  </si>
  <si>
    <t>BCP（業務継続計画）</t>
  </si>
  <si>
    <t>BCP（業務継続計画）</t>
    <phoneticPr fontId="6"/>
  </si>
  <si>
    <t>[ "wifi", "ｗｉｆｉ", "wi-fi", "ｗｉ－ｆｉ", "jetfi", "ｊｅｔｆｉ" ]</t>
    <phoneticPr fontId="6"/>
  </si>
  <si>
    <t>[ "チャレンジキャリア", "チャレンジキャリア制度", "チャレンジ・キャリア", "キャリアビジョン", "キャリア", "キャリアビジョン支援研修" ]</t>
    <phoneticPr fontId="6"/>
  </si>
  <si>
    <t>1</t>
    <phoneticPr fontId="6"/>
  </si>
  <si>
    <t>現行で一番目に表示されているものをプライオリティ高めに設定</t>
    <rPh sb="0" eb="2">
      <t>ゲンコウ</t>
    </rPh>
    <rPh sb="3" eb="6">
      <t>イチバンメ</t>
    </rPh>
    <rPh sb="7" eb="9">
      <t>ヒョウジ</t>
    </rPh>
    <rPh sb="24" eb="25">
      <t>タカ</t>
    </rPh>
    <rPh sb="27" eb="29">
      <t>セッテイ</t>
    </rPh>
    <phoneticPr fontId="1"/>
  </si>
  <si>
    <t>2</t>
    <phoneticPr fontId="6"/>
  </si>
  <si>
    <t>3</t>
    <phoneticPr fontId="6"/>
  </si>
  <si>
    <t>プライオリティ変更</t>
    <rPh sb="7" eb="9">
      <t>ヘンコウ</t>
    </rPh>
    <phoneticPr fontId="6"/>
  </si>
  <si>
    <t>[ "who'swho", "ｗｈｏ’ｓｗｈｏ", "who's", "ｗｈｏ’ｓ", "who", "ｗｈｏ" ]</t>
    <phoneticPr fontId="6"/>
  </si>
  <si>
    <t>[ "wifi", "ｗｉｆｉ", "wi-fi", "ｗｉ－ｆｉ", "guestwi-fi", "ｇｕｅｓｔｗｉ－ｆｉ", "guestwifi", "ｇｕｅｓｔｗｉｆｉ", "ゲストwifi", "ゲストｗｉｆｉ" ]</t>
    <phoneticPr fontId="6"/>
  </si>
  <si>
    <t>[ "朝活セミナー", "朝活", "動画配信", "動画配信システム" ]</t>
    <rPh sb="19" eb="23">
      <t>ドウガハイシン</t>
    </rPh>
    <rPh sb="27" eb="31">
      <t>ドウガハイシン</t>
    </rPh>
    <phoneticPr fontId="6"/>
  </si>
  <si>
    <t>医療費通知</t>
    <rPh sb="0" eb="3">
      <t>イリョウヒ</t>
    </rPh>
    <rPh sb="3" eb="5">
      <t>ツウチ</t>
    </rPh>
    <phoneticPr fontId="6"/>
  </si>
  <si>
    <t>[ "医療費"  ]</t>
    <rPh sb="3" eb="6">
      <t>イリョウヒ</t>
    </rPh>
    <phoneticPr fontId="6"/>
  </si>
  <si>
    <t>https://hrportal.itochu.co.jp/shain/kenpoiryouhi/userTop.aspx</t>
  </si>
  <si>
    <t>2</t>
  </si>
  <si>
    <t>keyword</t>
    <phoneticPr fontId="11"/>
  </si>
  <si>
    <t>title1</t>
    <phoneticPr fontId="11"/>
  </si>
  <si>
    <t>title2</t>
    <phoneticPr fontId="11"/>
  </si>
  <si>
    <t>title3</t>
    <phoneticPr fontId="11"/>
  </si>
  <si>
    <t>出張</t>
    <phoneticPr fontId="11"/>
  </si>
  <si>
    <t>3k</t>
    <phoneticPr fontId="11"/>
  </si>
  <si>
    <t>３ｋ</t>
    <phoneticPr fontId="11"/>
  </si>
  <si>
    <t>チケット仮払い</t>
    <phoneticPr fontId="11"/>
  </si>
  <si>
    <t>ワークフロー</t>
    <phoneticPr fontId="11"/>
  </si>
  <si>
    <t>海外出張</t>
    <phoneticPr fontId="11"/>
  </si>
  <si>
    <t>海外旅費</t>
    <phoneticPr fontId="11"/>
  </si>
  <si>
    <t>勤務</t>
    <phoneticPr fontId="11"/>
  </si>
  <si>
    <t>勤務管理</t>
    <phoneticPr fontId="11"/>
  </si>
  <si>
    <t>勤務簿</t>
    <phoneticPr fontId="11"/>
  </si>
  <si>
    <t>経費精算</t>
    <phoneticPr fontId="11"/>
  </si>
  <si>
    <t>国内出張</t>
    <phoneticPr fontId="11"/>
  </si>
  <si>
    <t>国内旅費</t>
    <phoneticPr fontId="11"/>
  </si>
  <si>
    <t>市内交通費</t>
    <phoneticPr fontId="11"/>
  </si>
  <si>
    <t>事前申請</t>
    <phoneticPr fontId="11"/>
  </si>
  <si>
    <t>社宅</t>
    <phoneticPr fontId="11"/>
  </si>
  <si>
    <t>社宅申請書</t>
    <phoneticPr fontId="11"/>
  </si>
  <si>
    <t>代理起票</t>
    <phoneticPr fontId="11"/>
  </si>
  <si>
    <t>追加入力</t>
    <phoneticPr fontId="11"/>
  </si>
  <si>
    <t>追加入力者</t>
    <phoneticPr fontId="11"/>
  </si>
  <si>
    <t>日吉</t>
    <phoneticPr fontId="11"/>
  </si>
  <si>
    <t>福利厚生</t>
    <rPh sb="0" eb="4">
      <t>フクリコウセイ</t>
    </rPh>
    <phoneticPr fontId="11"/>
  </si>
  <si>
    <t>日吉寮</t>
    <phoneticPr fontId="11"/>
  </si>
  <si>
    <t>寮申請書</t>
    <phoneticPr fontId="11"/>
  </si>
  <si>
    <t>人達（人事・総務関連通達）</t>
    <phoneticPr fontId="11"/>
  </si>
  <si>
    <t>110運動</t>
    <phoneticPr fontId="11"/>
  </si>
  <si>
    <t>１１０運動</t>
    <phoneticPr fontId="11"/>
  </si>
  <si>
    <t>agile</t>
    <phoneticPr fontId="11"/>
  </si>
  <si>
    <t>申請書ポータル</t>
    <phoneticPr fontId="11"/>
  </si>
  <si>
    <t>申請書ポータル ヘルプサイト</t>
    <phoneticPr fontId="11"/>
  </si>
  <si>
    <t>ａｇｉｌｅ</t>
    <phoneticPr fontId="11"/>
  </si>
  <si>
    <t>agileworks</t>
    <phoneticPr fontId="11"/>
  </si>
  <si>
    <t>ａｇｉｌｅｗｏｒｋｓ</t>
    <phoneticPr fontId="11"/>
  </si>
  <si>
    <t>band</t>
    <phoneticPr fontId="11"/>
  </si>
  <si>
    <t>制度一覧</t>
    <phoneticPr fontId="11"/>
  </si>
  <si>
    <t>ｂａｎｄ</t>
    <phoneticPr fontId="11"/>
  </si>
  <si>
    <t>band通知書</t>
    <phoneticPr fontId="11"/>
  </si>
  <si>
    <t>ｂａｎｄ通知書</t>
    <phoneticPr fontId="11"/>
  </si>
  <si>
    <t>bcp</t>
    <phoneticPr fontId="11"/>
  </si>
  <si>
    <t>ｂｃｐ</t>
    <phoneticPr fontId="11"/>
  </si>
  <si>
    <t>box</t>
    <phoneticPr fontId="11"/>
  </si>
  <si>
    <t>Box ヘルプサイト</t>
    <phoneticPr fontId="11"/>
  </si>
  <si>
    <t>ｂｏｘ</t>
    <phoneticPr fontId="11"/>
  </si>
  <si>
    <t>ceo</t>
    <phoneticPr fontId="11"/>
  </si>
  <si>
    <t>ｄｈｌ</t>
    <phoneticPr fontId="11"/>
  </si>
  <si>
    <t>docusign</t>
    <phoneticPr fontId="11"/>
  </si>
  <si>
    <t>DocuSign</t>
    <phoneticPr fontId="11"/>
  </si>
  <si>
    <t>ｄｏｃｕｓｉｇｎ</t>
    <phoneticPr fontId="11"/>
  </si>
  <si>
    <t>ecp</t>
    <phoneticPr fontId="11"/>
  </si>
  <si>
    <t>安全保障管理室</t>
    <phoneticPr fontId="11"/>
  </si>
  <si>
    <t>ECPシステム ログイン（社内）</t>
    <phoneticPr fontId="11"/>
  </si>
  <si>
    <t>ECPシステム ログイン（社外）</t>
    <phoneticPr fontId="11"/>
  </si>
  <si>
    <t>ｅｃｐ</t>
    <phoneticPr fontId="11"/>
  </si>
  <si>
    <t>e-learning</t>
    <phoneticPr fontId="11"/>
  </si>
  <si>
    <t>e-learning ログイン</t>
    <phoneticPr fontId="11"/>
  </si>
  <si>
    <t>e-learning 制作・開講の流れ</t>
    <phoneticPr fontId="11"/>
  </si>
  <si>
    <t>ｅ－ｌｅａｒｎｉｎｇ</t>
    <phoneticPr fontId="11"/>
  </si>
  <si>
    <t>esg</t>
    <phoneticPr fontId="11"/>
  </si>
  <si>
    <t>サステナビリティ推進室イントラ</t>
    <phoneticPr fontId="11"/>
  </si>
  <si>
    <t>ｅｓｇ</t>
    <phoneticPr fontId="11"/>
  </si>
  <si>
    <t>eラーニング</t>
    <phoneticPr fontId="11"/>
  </si>
  <si>
    <t>ｅラーニング</t>
    <phoneticPr fontId="11"/>
  </si>
  <si>
    <t>fx-mail</t>
    <phoneticPr fontId="11"/>
  </si>
  <si>
    <t>FX-Mail ヘルプサイト</t>
    <phoneticPr fontId="11"/>
  </si>
  <si>
    <t>ｆｘ－ｍａｉｌ</t>
    <phoneticPr fontId="11"/>
  </si>
  <si>
    <t>grade</t>
    <phoneticPr fontId="11"/>
  </si>
  <si>
    <t>ｇｒａｄｅ</t>
    <phoneticPr fontId="11"/>
  </si>
  <si>
    <t>grade通知書</t>
    <phoneticPr fontId="11"/>
  </si>
  <si>
    <t>ｇｒａｄｅ通知書</t>
    <phoneticPr fontId="11"/>
  </si>
  <si>
    <t>hanabi</t>
    <phoneticPr fontId="11"/>
  </si>
  <si>
    <t>HANABI ヘルプサイト</t>
    <phoneticPr fontId="11"/>
  </si>
  <si>
    <t>ｈａｎａｂｉ</t>
    <phoneticPr fontId="11"/>
  </si>
  <si>
    <t>hmc</t>
    <phoneticPr fontId="11"/>
  </si>
  <si>
    <t>業務部 サイト</t>
    <phoneticPr fontId="11"/>
  </si>
  <si>
    <t>ｈｍｃ</t>
    <phoneticPr fontId="11"/>
  </si>
  <si>
    <t>idm</t>
    <phoneticPr fontId="11"/>
  </si>
  <si>
    <t>ＩＤ統合管理システム</t>
    <phoneticPr fontId="11"/>
  </si>
  <si>
    <t>ＩＤ統合管理システム FAQ</t>
    <phoneticPr fontId="11"/>
  </si>
  <si>
    <t>ｉｄｍ</t>
    <phoneticPr fontId="11"/>
  </si>
  <si>
    <t>id申請</t>
    <phoneticPr fontId="11"/>
  </si>
  <si>
    <t>ｉｄ申請</t>
    <phoneticPr fontId="11"/>
  </si>
  <si>
    <t>id登録</t>
    <phoneticPr fontId="11"/>
  </si>
  <si>
    <t>ｉｄ登録</t>
    <phoneticPr fontId="11"/>
  </si>
  <si>
    <t>id統合</t>
    <phoneticPr fontId="11"/>
  </si>
  <si>
    <t>iPad ヘルプサイト</t>
    <phoneticPr fontId="11"/>
  </si>
  <si>
    <t>ｉｐａｄ</t>
    <phoneticPr fontId="11"/>
  </si>
  <si>
    <t>i-STAR ログイン（社内）</t>
    <phoneticPr fontId="11"/>
  </si>
  <si>
    <t>i-STAR ログイン（グループ会社）</t>
    <phoneticPr fontId="11"/>
  </si>
  <si>
    <t>i-STAR ヘルプサイト</t>
    <phoneticPr fontId="11"/>
  </si>
  <si>
    <t>I-TRADE ヘルプサイト</t>
    <phoneticPr fontId="11"/>
  </si>
  <si>
    <t>海外用WiFiルータ 「jetfi」 サービス概要</t>
    <phoneticPr fontId="11"/>
  </si>
  <si>
    <t>育成・研修</t>
    <phoneticPr fontId="11"/>
  </si>
  <si>
    <t>MBOシステム（社内からのアクセス）</t>
    <phoneticPr fontId="11"/>
  </si>
  <si>
    <t>MBOシステム（社外からのアクセス）</t>
    <phoneticPr fontId="11"/>
  </si>
  <si>
    <t>MHANA ヘルプサイト</t>
    <phoneticPr fontId="11"/>
  </si>
  <si>
    <t>owa</t>
    <phoneticPr fontId="11"/>
  </si>
  <si>
    <t>OWA ログイン</t>
    <phoneticPr fontId="11"/>
  </si>
  <si>
    <t>OWA 操作手順</t>
    <phoneticPr fontId="11"/>
  </si>
  <si>
    <t>PEOPLE ヘルプサイト</t>
    <phoneticPr fontId="11"/>
  </si>
  <si>
    <t>PEOPLE 情報更新（個人情報、組織情報、管理者）</t>
    <phoneticPr fontId="11"/>
  </si>
  <si>
    <t>RPA 関連ページ</t>
    <phoneticPr fontId="11"/>
  </si>
  <si>
    <t>SPAIS ヘルプサイト（※RVは、SPAISに移行しました。）</t>
    <phoneticPr fontId="11"/>
  </si>
  <si>
    <t>SkyPDF</t>
    <phoneticPr fontId="11"/>
  </si>
  <si>
    <t>経理部 システム関連ページ</t>
    <phoneticPr fontId="11"/>
  </si>
  <si>
    <t>Teams ヘルプサイト</t>
    <phoneticPr fontId="11"/>
  </si>
  <si>
    <t>Unicornシステム TOPページ</t>
    <phoneticPr fontId="11"/>
  </si>
  <si>
    <t>海外店向け分与口銭に係る付加価値税の件</t>
    <phoneticPr fontId="11"/>
  </si>
  <si>
    <t>ｖａｔ</t>
    <phoneticPr fontId="11"/>
  </si>
  <si>
    <t>Webex Calling ヘルプサイト</t>
    <phoneticPr fontId="11"/>
  </si>
  <si>
    <t>伊藤忠社内WiFi設定</t>
    <phoneticPr fontId="11"/>
  </si>
  <si>
    <t>Guest Wi-Fi（※ゲストの方のみ利用可）</t>
    <phoneticPr fontId="11"/>
  </si>
  <si>
    <t>Zoom ヘルプサイト</t>
    <phoneticPr fontId="11"/>
  </si>
  <si>
    <t>チャレンジ・キャリア制度 サイト</t>
    <phoneticPr fontId="11"/>
  </si>
  <si>
    <t>”コピー・プリントサービスのご案内（東京）”はこちら</t>
    <phoneticPr fontId="11"/>
  </si>
  <si>
    <t>コロナウィルスへの対応</t>
    <phoneticPr fontId="11"/>
  </si>
  <si>
    <t>メールサポートツール ログイン</t>
    <phoneticPr fontId="11"/>
  </si>
  <si>
    <t>シンクライアント ヘルプサイト</t>
    <phoneticPr fontId="11"/>
  </si>
  <si>
    <t>”安否確認サービス　ログイン”はこちら</t>
    <phoneticPr fontId="11"/>
  </si>
  <si>
    <t>タイプ別仕訳分析表</t>
    <phoneticPr fontId="11"/>
  </si>
  <si>
    <t>チャレンジキャリア制度</t>
    <phoneticPr fontId="11"/>
  </si>
  <si>
    <t>デリバティブ取引に係る取扱い基準改訂の件</t>
    <phoneticPr fontId="11"/>
  </si>
  <si>
    <t>どこでもLAN ヘルプサイト</t>
    <phoneticPr fontId="11"/>
  </si>
  <si>
    <t>電話・FAX・どこでも内線 ヘルプサイト</t>
    <phoneticPr fontId="11"/>
  </si>
  <si>
    <t>”社名入広告宣伝品リスト”はこちら</t>
    <phoneticPr fontId="11"/>
  </si>
  <si>
    <t>朝型勤務に伴う軽食配布　利用のご案内</t>
    <phoneticPr fontId="11"/>
  </si>
  <si>
    <t>”べんりねっと”はこちら</t>
    <phoneticPr fontId="11"/>
  </si>
  <si>
    <t>マイタブ／顔写真画像</t>
    <phoneticPr fontId="11"/>
  </si>
  <si>
    <t>メーリングリスト作成・削除/管理者変更について</t>
    <phoneticPr fontId="11"/>
  </si>
  <si>
    <t>メールサービス 問合せ先一覧</t>
    <phoneticPr fontId="11"/>
  </si>
  <si>
    <t>伊藤忠労働組合サイト ログイン</t>
    <phoneticPr fontId="11"/>
  </si>
  <si>
    <t>医療費通知</t>
    <phoneticPr fontId="11"/>
  </si>
  <si>
    <t>育児関連</t>
    <phoneticPr fontId="11"/>
  </si>
  <si>
    <t>岡藤社長メッセージ</t>
    <phoneticPr fontId="11"/>
  </si>
  <si>
    <t>岡藤社長トピックス</t>
    <phoneticPr fontId="11"/>
  </si>
  <si>
    <t>岡藤社長メッセージ（2017年度以前）</t>
    <phoneticPr fontId="11"/>
  </si>
  <si>
    <t>”設備予約トップページ”はこちら</t>
    <phoneticPr fontId="11"/>
  </si>
  <si>
    <t>人事月報</t>
    <phoneticPr fontId="11"/>
  </si>
  <si>
    <t>海外出張旅費精算時に用いる換算レート及び関連する証憑書類について</t>
    <phoneticPr fontId="11"/>
  </si>
  <si>
    <t>外国源泉所得税の処理について</t>
    <phoneticPr fontId="11"/>
  </si>
  <si>
    <t>事業会社概況表 サイト</t>
    <phoneticPr fontId="11"/>
  </si>
  <si>
    <t>勘定科目分類表</t>
    <phoneticPr fontId="11"/>
  </si>
  <si>
    <t>規程・規則・基準 サイト</t>
    <phoneticPr fontId="11"/>
  </si>
  <si>
    <t>期末換算レート</t>
    <phoneticPr fontId="11"/>
  </si>
  <si>
    <t>時間管理・朝型勤務</t>
    <phoneticPr fontId="11"/>
  </si>
  <si>
    <t>人事関連トップページ</t>
    <phoneticPr fontId="11"/>
  </si>
  <si>
    <t>給与明細 FAQ</t>
    <phoneticPr fontId="11"/>
  </si>
  <si>
    <t>給与テーブル</t>
    <phoneticPr fontId="11"/>
  </si>
  <si>
    <t>経費支払事後点検実施要領</t>
    <phoneticPr fontId="11"/>
  </si>
  <si>
    <t>健康管理室 サイト</t>
    <phoneticPr fontId="11"/>
  </si>
  <si>
    <t>交互計算勘定制度に係る留意事項の件</t>
    <phoneticPr fontId="11"/>
  </si>
  <si>
    <t>連結対象会社</t>
    <phoneticPr fontId="11"/>
  </si>
  <si>
    <t>収入印紙の取扱要領</t>
  </si>
  <si>
    <t>単体決算会計システム処理要領(青本)</t>
  </si>
  <si>
    <t>デリバティブ取引に係る取扱い基準改訂の件</t>
  </si>
  <si>
    <t>外貨建取引等会計処理基準について</t>
  </si>
  <si>
    <t>棚卸資産に係る低価法の取扱い</t>
  </si>
  <si>
    <t>輸出代金保険事故及び保険債権代位に係る経理処理</t>
  </si>
  <si>
    <t>未収利息の不計上基準改訂の件</t>
  </si>
  <si>
    <t>未収銀行利子の計上について</t>
  </si>
  <si>
    <t>固定資産の減損に係る経理処理基準改訂の件</t>
  </si>
  <si>
    <t>資産除去債務に関する会計処理について</t>
  </si>
  <si>
    <t>keyword を検索したときに表示されるお知らせの順番を以下に設定</t>
    <rPh sb="9" eb="11">
      <t>ケンサク</t>
    </rPh>
    <rPh sb="16" eb="18">
      <t>ヒョウジ</t>
    </rPh>
    <rPh sb="22" eb="23">
      <t>シ</t>
    </rPh>
    <rPh sb="26" eb="28">
      <t>ジュンバン</t>
    </rPh>
    <rPh sb="29" eb="31">
      <t>イカ</t>
    </rPh>
    <rPh sb="32" eb="34">
      <t>セッテイ</t>
    </rPh>
    <phoneticPr fontId="1"/>
  </si>
  <si>
    <t>表示順の設定ルールについては「キーワード精査ルール」シートを参照</t>
    <rPh sb="0" eb="3">
      <t>ヒョウジジュン</t>
    </rPh>
    <rPh sb="4" eb="6">
      <t>セッテイ</t>
    </rPh>
    <rPh sb="30" eb="32">
      <t>サンショウ</t>
    </rPh>
    <phoneticPr fontId="1"/>
  </si>
  <si>
    <t>[ "研修", "育成", "教育", "研鑽", "海外赴任前研修", "海外赴任前", "海外赴任", "LB英語試験", "LB", "リンガスキル", "英語試験", "TSST試験", "TSST", "SST試験", "SST", "TOEIC試験", "TOEIC", "キャリアビジョン支援研修", "キャリアビジョン", "基礎コース" ]</t>
  </si>
  <si>
    <t/>
  </si>
  <si>
    <t>[ "mbo", "ｍｂｏ", "目標管理", "目標" ]</t>
  </si>
  <si>
    <t>[ "idm", "ｉｄｍ", "id統合", "ｉｄ統合", "id統合管理", "ｉｄ統合管理", "id統合管理システム", "ｉｄ統合管理システム", "機構変更", "機変", "基本id", "基本ｉｄ", "無線LAN", "メール継続利用", "社員外ユーザー", "id登録", "ｉｄ登録", "id申請", "ｉｄ申請", "個別システム", "メールアドレス", "氏名変更", "案件", "利用停止", "受講免除", "延長申請", "組織権限", "権限委譲", "承認者", "個人宛て", "委譲設定", "申請案件" ]</t>
  </si>
  <si>
    <t>[ "給与テーブル" ]</t>
  </si>
  <si>
    <t>[ "vat", "ｖａｔ", "付加価値税" ]</t>
  </si>
  <si>
    <t>[ "デリバティブ", "前払費用" ]</t>
  </si>
  <si>
    <t>[ "zoom", "ｚｏｏｍ" ]</t>
  </si>
  <si>
    <t>[ "box", "ｂｏｘ" ]</t>
  </si>
  <si>
    <t>[ "mhana", "ｍｈａｎａ", "sap", "ｓａｐ", "mission", "ｍｉｓｓｉｏｎ", "mission21", "ｍｉｓｓｉｏｎ２１" ]</t>
  </si>
  <si>
    <t>[ "hanabi", "ｈａｎａｂｉ" ]</t>
  </si>
  <si>
    <t>[ "unicorn", "ｕｎｉｃｏｒｎ" ]</t>
  </si>
  <si>
    <t>[ "ipad", "ｉｐａｄ" ]</t>
  </si>
  <si>
    <t>[ "people", "ｐｅｏｐｌｅ" ]</t>
  </si>
  <si>
    <t>[ "who'swho", "ｗｈｏ’ｓｗｈｏ", "who's", "ｗｈｏ’ｓ", "who", "ｗｈｏ" ]</t>
  </si>
  <si>
    <t>[ "people", "ｐｅｏｐｌｅ", "写真", "マイタブ" ]</t>
  </si>
  <si>
    <t>[ "ecp", "ｅｃｐ", "貿易管理", "貿易管理プログラム" ]</t>
  </si>
  <si>
    <t>[ "dhl", "ｄｈｌ" ]</t>
  </si>
  <si>
    <t>[ "teams", "ｔｅａｍｓ" ]</t>
  </si>
  <si>
    <t>[ "i-trade", "ｉ－ｔｒａｄｅ" ]</t>
  </si>
  <si>
    <t>[ "owa", "ｏｗａ" ]</t>
  </si>
  <si>
    <t>[ "sansan", "ｓａｎｓａｎ" ]</t>
  </si>
  <si>
    <t>[ "e-learning", "ｅ－ｌｅａｒｎｉｎｇ", "eラーニング", "ｅラーニング" ]</t>
  </si>
  <si>
    <t>[ "どこでもlan", "どこでもｌａｎ", "どこlan", "どこｌａｎ" ]</t>
  </si>
  <si>
    <t>[ "i-star", "ｉ－ｓｔａｒ" ]</t>
  </si>
  <si>
    <t>[ "stravis", "ｓｔｒａｖｉｓ" ]</t>
  </si>
  <si>
    <t>[ "fx-mail", "ｆｘ－ｍａｉｌ" ]</t>
  </si>
  <si>
    <t>[ "wifi", "ｗｉｆｉ", "wi-fi", "ｗｉ－ｆｉ", "jetfi", "ｊｅｔｆｉ" ]</t>
  </si>
  <si>
    <t>[ "rpa", "ｒｐａ", "ロボット" ]</t>
  </si>
  <si>
    <t>[ "110", "１１０", "110運動", "１１０運動" ]</t>
  </si>
  <si>
    <t>[ "hmc", "ｈｍｃ" ]</t>
  </si>
  <si>
    <t>[ "チャレンジキャリア", "チャレンジキャリア制度", "チャレンジ・キャリア", "キャリアビジョン", "キャリア", "キャリアビジョン支援研修" ]</t>
  </si>
  <si>
    <t>[ "band", "ｂａｎｄ", "grade", "ｇｒａｄｅ", "rank", "ｒａｎｋ", "昇格", "能力評価", "職務調査", "資格取得届", "名刺", "名刺タイトル" ]</t>
  </si>
  <si>
    <t>[ "コロナ", "コロナウィルス", "bcp", "ｂｃｐ", "在宅勤務", "新型コロナ", "新型コロナウイルス", "コロナウイルス", "コロナウィルスへの対応" ]</t>
  </si>
  <si>
    <t>[ "webex", "ｗｅｂｅｘ", "webexcalling", "ｗｅｂｅｘｃａｌｌｉｎｇ", "どこでも内線", "内線" ]</t>
  </si>
  <si>
    <t>[ "申請書ポータル", "agileworks", "ａｇｉｌｅｗｏｒｋｓ", "agile", "ａｇｉｌｅ" ]</t>
  </si>
  <si>
    <t>[ "wifi", "ｗｉｆｉ", "wi-fi", "ｗｉ－ｆｉ" ]</t>
  </si>
  <si>
    <t>[ "wifi", "ｗｉｆｉ", "wi-fi", "ｗｉ－ｆｉ", "guestwi-fi", "ｇｕｅｓｔｗｉ－ｆｉ", "guestwifi", "ｇｕｅｓｔｗｉｆｉ", "ゲストwifi", "ゲストｗｉｆｉ" ]</t>
  </si>
  <si>
    <t>[ "岡藤", "岡藤会長", "岡藤会長ceo", "岡藤会長ｃｅｏ", "会長", "ceo", "ｃｅｏ", "会長ceo", "会長ｃｅｏ" ]</t>
  </si>
  <si>
    <t>[ "spais", "ｓｐａｉｓ", "rv", "ｒｖ", "電子帳票", "オンデマンド印刷", "帳票web配信", "帳票ｗｅｂ配信" ]</t>
  </si>
  <si>
    <t>[ "概況表", "事業会社概況表", "事業会社区分", "分身会社", "統合会社コード" ]</t>
  </si>
  <si>
    <t>[ "朝活セミナー", "朝活", "動画配信", "動画配信システム" ]</t>
  </si>
  <si>
    <t>[ "skypdf", "ｓｋｙｐｄｆ", "スカイpdf", "スカイｐｄｆ" ]</t>
  </si>
  <si>
    <t>[ "docusign", "ｄｏｃｕｓｉｇｎ", "ドキュサイン", "契約書", "サイン", "電子署名", "署名", "電子契約" ]</t>
  </si>
  <si>
    <t>[ "社宅", "社宅申請書", "寮", "寮申請書", "日吉寮", "日吉" ]</t>
  </si>
  <si>
    <t>[ "ワークフロー", "勤務", "勤務簿", "勤務管理" ]</t>
  </si>
  <si>
    <t>[ "勤務", "勤務簿", "勤務管理" ]</t>
  </si>
  <si>
    <t>[ "ワークフロー", "出張", "国内出張", "海外出張", "経費精算", "精算", "市内交通費", "事前申請", "３ｋ", "3k", "海外旅費", "追加入力者", "追加入力", "国内旅費", "代理起票", "チケット仮払い" ]</t>
  </si>
  <si>
    <t>医療費通知</t>
  </si>
  <si>
    <t>本番作業完了後EXPORTした「advertisement.tsv」を貼り付け</t>
    <rPh sb="0" eb="4">
      <t>ホンバンサギョウ</t>
    </rPh>
    <rPh sb="4" eb="6">
      <t>カンリョウ</t>
    </rPh>
    <rPh sb="6" eb="7">
      <t>ゴ</t>
    </rPh>
    <rPh sb="35" eb="36">
      <t>ハ</t>
    </rPh>
    <rPh sb="37" eb="38">
      <t>ツ</t>
    </rPh>
    <phoneticPr fontId="1"/>
  </si>
  <si>
    <t>95276633-a792-4cdc-9cc8-f4f74a8a2f05</t>
  </si>
  <si>
    <t>https://itochucorptest.sharepoint.com/sites/extra-office/SitePages/社員食堂.aspx</t>
  </si>
  <si>
    <t>2a6e3b72-c0eb-4192-a598-1d76f5445433</t>
  </si>
  <si>
    <t>https://itochucorptest.sharepoint.com/sites/intra-tokpj_hr-faq/SitePages/kousei/持株会について.aspx</t>
  </si>
  <si>
    <t>60e69142-7a7c-407f-8e7f-80c13eff019c</t>
  </si>
  <si>
    <t>2f58b442-f091-45de-8b8b-6bbbf3c83946</t>
  </si>
  <si>
    <t>c489810f-b89d-4a6d-b6ae-49ecbaf92462</t>
  </si>
  <si>
    <t>https://itochucorptest.sharepoint.com/sites/intra-tokpj_hr/SitePages/welfare/福利厚生.aspx</t>
  </si>
  <si>
    <t>a3e12edc-990f-4519-9df0-489c301a475a</t>
  </si>
  <si>
    <t>[ "源泉徴収", "源泉徴収表", "源泉", "源泉徴収票", "給与明細", "band通知書", "ｂａｎｄ通知書", "grade通知書", "ｇｒａｄｅ通知書", "海外給与", "異動決定", "web評価", "ｗｅｂ評価", "身上異動", "年末調整", "親展通知", "親展", "通知", "給与", "異動", "年調", "身上", "マイナンバー", "賞与", "ボーナス" ]</t>
  </si>
  <si>
    <t>2b7e572b-18a0-49d6-a7f0-dd78dfadf2e7</t>
  </si>
  <si>
    <t>https://itochucorptest.sharepoint.com/sites/intra-tokpj_hr/D_LevelA3/jikan/朝型勤務に伴う軽食配布　利用のご案内.pdf</t>
  </si>
  <si>
    <t>888be81d-da71-4e58-88a1-1cd5b224db0c</t>
  </si>
  <si>
    <t>https://itochucorptest.sharepoint.com/sites/intra-tokpj_hr/Lists/List42401/Attachments/1958/MBO%E5%AE%9F%E6%96%BD%E6%89%8B%E5%BC%95%E3%81%8D.pdf</t>
  </si>
  <si>
    <t>df7d05b1-00f6-43f5-92c6-b918709ede25</t>
  </si>
  <si>
    <t>https://itochucorptest.sharepoint.com/sites/intra-tokpj_hr/Lists/List42401/DispForm.aspx?ID=2091</t>
  </si>
  <si>
    <t>780a1fc4-cc4f-407d-8260-24f54e8ae514</t>
  </si>
  <si>
    <t>https://itochucorptest.sharepoint.com/sites/intra-tokpj_hr/Lists/List42401/Attachments/2134/人総連第23-14号_2023年6月度変動給賦課の精算について.pdf</t>
  </si>
  <si>
    <t>0d69f28a-eb7a-420d-b2d3-fa4728a8a642</t>
  </si>
  <si>
    <t>https://itochucorptest.sharepoint.com/sites/intra-tokpj_hr/Lists/List42401/DispForm.aspx?ID=2087</t>
  </si>
  <si>
    <t>32480ee7-0c64-4243-8f40-df0eb97cff79</t>
  </si>
  <si>
    <t>https://itochucorptest.sharepoint.com/sites/intra-tokpj_hr/SitePages/jikan/時間管理・朝型勤務.aspx</t>
  </si>
  <si>
    <t>[ "休暇", "休み", "時間管理", "勤務簿" ]</t>
  </si>
  <si>
    <t>62d9627b-c0bc-4708-850a-88afc516b374</t>
  </si>
  <si>
    <t>2dbba2f2-b062-4658-917d-4ce51a23f44f</t>
  </si>
  <si>
    <t>f6e46f52-e67d-4d58-a844-e470af47d27d</t>
  </si>
  <si>
    <t>15b6ab86-59f4-4061-96db-07f658df73cf</t>
  </si>
  <si>
    <t>https://itochucorptest.sharepoint.com/sites/intra-tokpj_hr/SitePages/ホーム.aspx</t>
  </si>
  <si>
    <t>0eb580e9-8567-40d7-b96f-f7f571f98c35</t>
  </si>
  <si>
    <t>https://itochucorptest.sharepoint.com/sites/intra-tokpj_hr-faq/SitePages/kyuyo/給与明細.aspx</t>
  </si>
  <si>
    <t>0eb30b59-b8d0-4dcf-a7a7-d1f9625492c2</t>
  </si>
  <si>
    <t>https://itochucorptest.sharepoint.com/sites/intra-tokpj_hr/D_LevelA3/setsumei/kyuyotable.pdf</t>
  </si>
  <si>
    <t>4424077b-e86c-4bd4-ba37-c605e36911dd</t>
  </si>
  <si>
    <t>https://itochucorptest.sharepoint.com/sites/intra-tokcr/SitePages/TopPage.aspx</t>
  </si>
  <si>
    <t>a0d467a4-0349-4173-91c5-427c4dc7c157</t>
  </si>
  <si>
    <t>https://itochucorptest.sharepoint.com/sites/extra-tokgnlevelD/DocLib005/Forms/AllItems.aspx</t>
  </si>
  <si>
    <t>47902182-287d-492f-b78f-3f5cf66c15b9</t>
  </si>
  <si>
    <t>https://itochucorptest.sharepoint.com/sites/intra-tokgn/Lists/List003/DispForm.aspx?ID=259</t>
  </si>
  <si>
    <t>7d60cd66-ff0c-4b2c-95ab-ad39f5484dad</t>
  </si>
  <si>
    <t>https://itochucorptest.sharepoint.com/sites/intra-tokgn/DocLib007/Forms/AllItems.aspx</t>
  </si>
  <si>
    <t>2b3a5295-c5a8-4f70-923b-0057189e914b</t>
  </si>
  <si>
    <t>https://itochucorptest.sharepoint.com/sites/extra-tokgnlevelD/DocLib004/Forms/AllItems.aspx</t>
  </si>
  <si>
    <t>59a8b8a1-9894-4cce-ab03-05f3a004f200</t>
  </si>
  <si>
    <t>https://itochucorptest.sharepoint.com/sites/intra-tokgn/Lists/List003/DispForm.aspx?ID=71</t>
  </si>
  <si>
    <t>80ef4913-5935-4500-90d7-9336a962f603</t>
  </si>
  <si>
    <t>https://itochucorptest.sharepoint.com/sites/intra-tokgn/Lists/List003/DispForm.aspx?ID=207</t>
  </si>
  <si>
    <t>4faa1af7-927c-4d65-bcc4-bc357e4131f2</t>
  </si>
  <si>
    <t>https://itochucorptest.sharepoint.com/sites/intra-tokgn/Lists/List004/DispForm.aspx?ID=919</t>
  </si>
  <si>
    <t>6ae9cdc5-994f-48f8-9794-8ef61ff0941f</t>
  </si>
  <si>
    <t>https://itochucorptest.sharepoint.com/sites/intra-tokgn/Lists/List004/DispForm.aspx?ID=10</t>
  </si>
  <si>
    <t>6bdc14a3-4efa-4dd3-9a45-55cdf8941995</t>
  </si>
  <si>
    <t>https://itochucorptest.sharepoint.com/sites/intra-tokgn/Lists/List003/DispForm.aspx?ID=1415</t>
  </si>
  <si>
    <t>bfd4ffde-ee43-4a01-8722-1d51d03725f7</t>
  </si>
  <si>
    <t>https://itochucorptest.sharepoint.com/sites/intra-tokgn/Shared%20Documents/kitei/商取引管理規程2020年4月1日改定.pdf</t>
  </si>
  <si>
    <t>9f3d3cd8-9b63-46c0-a6ba-31d66cabc1e9</t>
  </si>
  <si>
    <t>https://itochucorptest.sharepoint.com/sites/intra-tokgn/Shared%20Documents/kitei/商取引管理規程解説書_230401.pdf</t>
  </si>
  <si>
    <t>8163598c-e2c2-4623-87df-cc76822bf05a</t>
  </si>
  <si>
    <t>https://itochucorptest.sharepoint.com/sites/intra-tokgn/Shared Documents/ren/manual/chohyo_kakuron2010.xlsb</t>
  </si>
  <si>
    <t>09acc478-4e86-49c1-a4ea-6d7392569dea</t>
  </si>
  <si>
    <t>https://itochucorptest.sharepoint.com/sites/intra-tokgn/SitePages/ren/kaisha/連結対象会社.aspx</t>
  </si>
  <si>
    <t>f89fda13-abbb-4c5c-9bdf-d5bcd9f2c4db</t>
  </si>
  <si>
    <t>https://itochucorptest.sharepoint.com/sites/intra-tokgn/Lists/List004/DispForm.aspx?ID=395</t>
  </si>
  <si>
    <t>0f6ccfbf-9a77-416c-b74b-26220c90142d</t>
  </si>
  <si>
    <t>https://itochucorptest.sharepoint.com/sites/intra-tokgn/Lists/List007/DispForm.aspx?ID=9</t>
  </si>
  <si>
    <t>f6c29146-975f-4365-bdb5-590f2fb92796</t>
  </si>
  <si>
    <t>https://itochucorptest.sharepoint.com/sites/intra-tokgn/Lists/List004/DispForm.aspx?ID=14</t>
  </si>
  <si>
    <t>ea5a29f9-5625-4e7b-b759-800a22146a0e</t>
  </si>
  <si>
    <t>https://itochucorptest.sharepoint.com/sites/intra-tokgn/Lists/List004/DispForm.aspx?ID=937</t>
  </si>
  <si>
    <t>a8417f0e-093d-4105-b4f8-f94e5116ef0e</t>
  </si>
  <si>
    <t>https://itochucorptest.sharepoint.com/sites/intra-tokgn/Lists/List004/DispForm.aspx?ID=957</t>
  </si>
  <si>
    <t>a1cff903-fa22-4683-bba9-b4661c7471fc</t>
  </si>
  <si>
    <t>https://itochucorptest.sharepoint.com/sites/intra-tokgn/Lists/List004/DispForm.aspx?ID=907</t>
  </si>
  <si>
    <t>9276cc31-3fb5-4391-8538-b6bd9008ab1a</t>
  </si>
  <si>
    <t>https://itochucorptest.sharepoint.com/sites/intra-tokgn/Lists/List004/DispForm.aspx?ID=955</t>
  </si>
  <si>
    <t>ac16248c-0a1e-4436-be2a-6ea355df5ece</t>
  </si>
  <si>
    <t>https://itochucorptest.sharepoint.com/sites/intra-tokgn/Lists/List004/DispForm.aspx?ID=892</t>
  </si>
  <si>
    <t>efca990d-da80-4aee-84c5-79cd4ee07b6a</t>
  </si>
  <si>
    <t>https://itochucorptest.sharepoint.com/sites/intra-tokgn/Lists/List004/DispForm.aspx?ID=39</t>
  </si>
  <si>
    <t>ab837cbf-5938-4ed4-b237-efdc0d943489</t>
  </si>
  <si>
    <t>https://itochucorptest.sharepoint.com/sites/intra-tokgn/Lists/List004/DispForm.aspx?ID=958</t>
  </si>
  <si>
    <t>983e7bd5-ed0f-43f4-81bb-7170a6c991fc</t>
  </si>
  <si>
    <t>https://itochucorptest.sharepoint.com/sites/intra-tokgn/SitePages/system/bluebook/単体決算会計システム処理要領(青本).aspx</t>
  </si>
  <si>
    <t>dd9a3327-b39e-46c3-8dcb-dde987629f86</t>
  </si>
  <si>
    <t>https://itochucorptest.sharepoint.com/sites/intra-tokgn/SitePages/tan/ac/勘定科目分類表.aspx</t>
  </si>
  <si>
    <t>969a0954-412f-41fc-96b5-6e0639c5fb67</t>
  </si>
  <si>
    <t>https://itochucorptest.sharepoint.com/sites/intra-tokgn/Lists/List004/DispForm.aspx?ID=921</t>
  </si>
  <si>
    <t>a6a2302b-2080-4952-9033-6530bb66e188</t>
  </si>
  <si>
    <t>https://itochucorptest.sharepoint.com/sites/intra-tokgn/Lists/List003/DispForm.aspx?ID=180</t>
  </si>
  <si>
    <t>9b656960-4136-4bbe-977c-2f8c541d4d44</t>
  </si>
  <si>
    <t>https://itochucorptest.sharepoint.com/sites/intra-tokgn/Lists/List004/DispForm.aspx?ID=906</t>
  </si>
  <si>
    <t>9f218af8-f308-4579-a603-61dd37e6c742</t>
  </si>
  <si>
    <t>https://itochucorptest.sharepoint.com/sites/intra-tokgn/Lists/List003/DispForm.aspx?ID=234</t>
  </si>
  <si>
    <t>862e963d-0975-4fa2-b8a5-457b3ff46d3d</t>
  </si>
  <si>
    <t>https://itochucorptest.sharepoint.com/sites/intra-tokgn/Lists/List004/DispForm.aspx?ID=271</t>
  </si>
  <si>
    <t>adc0c2e8-fb08-413f-81fe-a392ddf22d72</t>
  </si>
  <si>
    <t>https://itochucorptest.sharepoint.com/sites/intra-tokgn/Lists/List004/DispForm.aspx?ID=940</t>
  </si>
  <si>
    <t>d3bbdcb3-4a52-4a25-990e-31fdb63eb4dd</t>
  </si>
  <si>
    <t>https://itochucorptest.sharepoint.com/sites/intra-tokgn/Lists/List004/DispForm.aspx?ID=106</t>
  </si>
  <si>
    <t>7aaa71e5-2c73-4792-b5b9-f9ec81fe7572</t>
  </si>
  <si>
    <t>https://itochucorptest.sharepoint.com/sites/intra-tokgn/Lists/List004/DispForm.aspx?ID=62</t>
  </si>
  <si>
    <t>17bf9011-98f3-4baa-a40e-cf2d7218ccfd</t>
  </si>
  <si>
    <t>https://itochucorptest.sharepoint.com/sites/intra-tokgn/Lists/List007/DispForm.aspx?ID=88</t>
  </si>
  <si>
    <t>756d0335-c178-44bf-8408-391ae1758955</t>
  </si>
  <si>
    <t>https://itochucorptest.sharepoint.com/sites/intra-tokgn/Shared%20Documents/tan/teikahou-manualver6.pdf</t>
  </si>
  <si>
    <t>30e5a235-4db3-4744-a7d2-867b96d213da</t>
  </si>
  <si>
    <t>https://itochucorptest.sharepoint.com/sites/intra-tokgv-zoom</t>
  </si>
  <si>
    <t>fcc2e9bf-1632-4683-8a08-ff4ec02dd36a</t>
  </si>
  <si>
    <t>https://itochucorptest.sharepoint.com/sites/intra-tokgv-tel_fax</t>
  </si>
  <si>
    <t>18e898ee-1c0c-4da8-a269-52ef45ebb6fd</t>
  </si>
  <si>
    <t>https://itochucorptest.sharepoint.com/sites/intra-tokgv-box</t>
  </si>
  <si>
    <t>80fc85aa-ce39-4891-9f03-becc269fc800</t>
  </si>
  <si>
    <t>https://itochucorptest.sharepoint.com/sites/intra-tokgv-MHANA/SitePages/m21h_index.aspx</t>
  </si>
  <si>
    <t>2e97d172-b74b-4486-bf59-cce693319a38</t>
  </si>
  <si>
    <t>cebabc20-dae6-4c87-93c7-2978bf46f548</t>
  </si>
  <si>
    <t>06639b80-95d9-4d34-909f-5bb98e0f7819</t>
  </si>
  <si>
    <t>https://itochucorptest.sharepoint.com/sites/intra-tokgv-ipad</t>
  </si>
  <si>
    <t>f904a098-54a7-4bf0-a241-2ff426d87b0f</t>
  </si>
  <si>
    <t>https://itochucorptest.sharepoint.com/sites/intra-tokgv-people</t>
  </si>
  <si>
    <t>99f4bd2c-cc5a-4eb5-9a84-014f0f4265af</t>
  </si>
  <si>
    <t>https://launcher.myapps.microsoft.com/api/signin/5889a561-5535-49de-8a3f-9a0f884729e2?tenantId=c1f6fa74-4f6a-49d8-9a20-151c6592b366</t>
  </si>
  <si>
    <t>1a2562fa-0555-4d09-abfd-c003028fb497</t>
  </si>
  <si>
    <t>12c6767d-31fe-4960-a332-3dc8636b71ec</t>
  </si>
  <si>
    <t>https://itochucorptest.sharepoint.com/sites/intra-guideline/SitePages/マイタブ／顔写真画像.aspx</t>
  </si>
  <si>
    <t>352637b6-f6d8-4342-8199-a084c3834ca1</t>
  </si>
  <si>
    <t>https://itochucorptest.sharepoint.com/sites/intra-tokuw-tokok/SitePages/TopPage.aspx</t>
  </si>
  <si>
    <t>7291db4c-ff95-46c3-8a44-8982c6c1cde3</t>
  </si>
  <si>
    <t>553a7234-1221-4a5c-b402-999431011373</t>
  </si>
  <si>
    <t>3e70f293-2eea-4b20-82c3-8ef7df50ac49</t>
  </si>
  <si>
    <t>https://itochucorptest.sharepoint.com/sites/intra-tokpj_ga-office/SitePages/TopPage.aspx</t>
  </si>
  <si>
    <t>d0fc2eb0-cd8a-4cf9-b079-f15692fb329e</t>
  </si>
  <si>
    <t>c1ce11a0-8434-4d42-bb5e-94485d280893</t>
  </si>
  <si>
    <t>https://itochucorptest.sharepoint.com/sites/intra-tokgv-teams</t>
  </si>
  <si>
    <t>c7c48038-ca54-4350-9f1f-82bcb11e463b</t>
  </si>
  <si>
    <t>https://itochucorptest.sharepoint.com/sites/extra-tokrg/SitePages/I-TRADE.aspx</t>
  </si>
  <si>
    <t>2850bcf0-ebc3-4e29-a03c-bd65f6c62fdf</t>
  </si>
  <si>
    <t>https://itochucorptest.sharepoint.com/sites/extra-tokgnlevelD/SitePages/system/標準請求書システム.aspx</t>
  </si>
  <si>
    <t>244b6a7c-5cce-4985-aff5-3249be244fb9</t>
  </si>
  <si>
    <t>ebd8d1f9-a60e-4e08-971c-4781adbd9c39</t>
  </si>
  <si>
    <t>https://itochucorptest.sharepoint.com/sites/intra-tokgv-mail/SitePages/mail_win10_settei.aspx#｜owa(outlook-on-the-web)操作手順</t>
  </si>
  <si>
    <t>7b1b7572-cf92-43a6-9f5a-966f687e12f6</t>
  </si>
  <si>
    <t>3c32129b-7a18-4d54-b773-f7677aeba4bd</t>
  </si>
  <si>
    <t>https://itochucorptest.sharepoint.com/sites/intra-tokgv-sansan</t>
  </si>
  <si>
    <t>275f48b2-b732-415e-b224-52a6f36a981a</t>
  </si>
  <si>
    <t>a76daaa3-3fa5-4dfa-af4e-5416f30c027a</t>
  </si>
  <si>
    <t>https://itochucorptest.sharepoint.com/sites/intra-e-learning/Shared%20Documents/TopPage.aspx</t>
  </si>
  <si>
    <t>e42ec1d5-d580-4568-ac93-84b72a3605d6</t>
  </si>
  <si>
    <t>https://itochucorptest.sharepoint.com/sites/intra-e-learning/SitePages/index.aspx</t>
  </si>
  <si>
    <t>f8afdf8c-3b69-4562-8240-d903eec5a643</t>
  </si>
  <si>
    <t>https://itochucorptest.sharepoint.com/sites/intra-tokgv-thinclient</t>
  </si>
  <si>
    <t>dbaf4cfe-5380-47d7-a06c-d63218c02483</t>
  </si>
  <si>
    <t>https://itochucorptest.sharepoint.com/sites/intra-tokgv-dokolan</t>
  </si>
  <si>
    <t>4c31dd9a-1c40-4654-a541-d156d8cdd0ed</t>
  </si>
  <si>
    <t>https://itochucorptest.sharepoint.com/sites/intra-tokuw-tokei-trade/SitePages/istar-info.aspx</t>
  </si>
  <si>
    <t>03b1dd07-fe0a-4fc6-8dec-6c1431bcd11d</t>
  </si>
  <si>
    <t>8d1de6fe-9647-4b28-b716-9a0ac1cf062f</t>
  </si>
  <si>
    <t>c7f33e5e-e472-4d57-a904-1637d30b50a4</t>
  </si>
  <si>
    <t>https://itochucorptest.sharepoint.com/sites/intra-tokgn/SitePages/システム関連.aspx</t>
  </si>
  <si>
    <t>b0973ebc-aaf7-4b5a-997e-3aab80cdb5d2</t>
  </si>
  <si>
    <t>https://itochucorptest.sharepoint.com/sites/extra-tokgq/SitePages/FX-Mail関連.aspx</t>
  </si>
  <si>
    <t>bde56615-5a79-4556-9ce9-dcb8b2f4fa65</t>
  </si>
  <si>
    <t>https://itochucorptest.sharepoint.com/sites/intra-tokgv-jetfi_wifi</t>
  </si>
  <si>
    <t>9160655f-0fb5-4433-b81e-8e7929a7b6ce</t>
  </si>
  <si>
    <t>https://itochucorptest.sharepoint.com/sites/intra-tokgv-kaizen</t>
  </si>
  <si>
    <t>ba67212e-bec7-41ed-a0fa-f285bd12ce3b</t>
  </si>
  <si>
    <t>https://itochucorptest.sharepoint.com/sites/intra-tokgv-mail/SitePages/mail_win10_shinsei.aspx#｜メーリングリスト作成・削除-管理者変更申請</t>
  </si>
  <si>
    <t>14291d11-2ae7-4df4-9f85-5938ba29c403</t>
  </si>
  <si>
    <t>0231ca7e-0529-4b77-818a-406fd7785086</t>
  </si>
  <si>
    <t>https://itochucorptest.sharepoint.com/sites/intra-tokpj_hr/DocLib003/Forms/AllItems.aspx</t>
  </si>
  <si>
    <t>f80431db-6fb0-4913-91eb-ef9f242b1c66</t>
  </si>
  <si>
    <t>https://itochucorptest.sharepoint.com/sites/extra-tokgnlevelD/DocLib001/Forms/AllItems.aspx</t>
  </si>
  <si>
    <t>9c67cc62-2a32-4cb2-9dd6-d558c114980f</t>
  </si>
  <si>
    <t>https://itochucorptest.sharepoint.com/sites/intra-tokpj_hr-tokhz/SitePages/TopPage.aspx</t>
  </si>
  <si>
    <t>20d543b6-f31e-484e-8a9c-aa41c0753c54</t>
  </si>
  <si>
    <t>https://itochucorptest.sharepoint.com/sites/intra-info/Lists/List001/AllItems.aspx</t>
  </si>
  <si>
    <t>ccc9d600-109a-4bf5-b78e-6acb15074395</t>
  </si>
  <si>
    <t>https://itochucorptest.sharepoint.com/sites/intra-tokgk-toknh/SitePages/TopPage.aspx</t>
  </si>
  <si>
    <t>5b699a63-f806-43b3-a720-07c9674f7619</t>
  </si>
  <si>
    <t>https://itochucorptest.sharepoint.com/sites/extra-office/SitePages/館内サービス.aspx#05</t>
  </si>
  <si>
    <t>7b82054f-dca5-48bb-8a7f-1a0a13cf4024</t>
  </si>
  <si>
    <t>https://itochucorptest.sharepoint.com/sites/intra-tokgv-MHANA/m21hana_/【統合会社マスタ】補足）統合会社コード体系.pdf</t>
  </si>
  <si>
    <t>4f622259-1730-4191-998b-e470b965000f</t>
  </si>
  <si>
    <t>https://itochucorptest.sharepoint.com/sites/intra-tokpj_hr/SitePages/kitei/規程・規則・基準.aspx</t>
  </si>
  <si>
    <t>f45b1df2-5203-4d49-a71a-64aaef3fc66f</t>
  </si>
  <si>
    <t>https://itochucorptest.sharepoint.com/sites/intra-tokpj_hr/Lists/List003/AllItems.aspx</t>
  </si>
  <si>
    <t>47e2badd-12c6-4fce-a3a9-c557c90fc10e</t>
  </si>
  <si>
    <t>https://itochucorptest.sharepoint.com/sites/intra-tokoa/SitePages/TopPage.aspx</t>
  </si>
  <si>
    <t>f84b3dc5-0f92-4974-8245-4c95b1bbbbf6</t>
  </si>
  <si>
    <t>148befc8-82e2-496c-8398-d6e56ef13532</t>
  </si>
  <si>
    <t>https://itochucorptest.sharepoint.com/sites/intra-tokoa/DocLib002/Forms/AllItems.aspx</t>
  </si>
  <si>
    <t>9a89ea5c-cf46-4e40-9b50-09968a9685dc</t>
  </si>
  <si>
    <t>https://itochucorptest.sharepoint.com/sites/intra-tokpj_hr/SitePages/チャレンジ・キャリア制度.aspx</t>
  </si>
  <si>
    <t>1b4301af-a0fc-4b03-9725-765253009549</t>
  </si>
  <si>
    <t>d80d20c1-35c4-4dbc-8eb8-21af94fdaa00</t>
  </si>
  <si>
    <t>https://itochucorptest.sharepoint.com/sites/intra-tokpj_hr/DocLib001/Forms/AllItems.aspx</t>
  </si>
  <si>
    <t>1c2de6b0-872b-4dfc-a65d-0677ddd193bc</t>
  </si>
  <si>
    <t>https://itochucorptest.sharepoint.com/sites/intra-tokpj_hr/SitePages/seido/制度一覧.aspx</t>
  </si>
  <si>
    <t>40d4b302-5431-46e5-b576-54bc07af475a</t>
  </si>
  <si>
    <t>https://itochucorptest.sharepoint.com/sites/intra-tokpj_ga-bcp/Shared%20Documents/files/tsutatsu.pdf</t>
  </si>
  <si>
    <t>6943edeb-83d3-4a1a-84fc-0314f6ece27e</t>
  </si>
  <si>
    <t>https://itochucorptest.sharepoint.com/sites/intra-tokpj_ga-bcp/SitePages/TopPage.aspx</t>
  </si>
  <si>
    <t>2a316dc4-6380-4dce-8499-f3225f8f210e</t>
  </si>
  <si>
    <t>https://itochucorptest.sharepoint.com/sites/intra-tokgv-WebexCalling</t>
  </si>
  <si>
    <t>85911cea-69b8-4626-a649-c1a9db314e96</t>
  </si>
  <si>
    <t>c5fdb448-8fa0-48f7-9ed5-6673361d724f</t>
  </si>
  <si>
    <t>https://itochucorptest.sharepoint.com/sites/intra-tokgv-Shinseisho_Portal</t>
  </si>
  <si>
    <t>75b0135a-e805-444f-b70c-20e16e5e35f1</t>
  </si>
  <si>
    <t>https://itochucorptest.sharepoint.com/sites/intra-tokgv-itochu_wifi</t>
  </si>
  <si>
    <t>1cca8339-4cbe-4d6d-b59a-a3f06c0114e7</t>
  </si>
  <si>
    <t>https://itochucorptest.sharepoint.com/sites/intra-tokgv-itochu_wifi/guest_wifi/Guest_Wi-Fi_Info.pdf</t>
  </si>
  <si>
    <t>6e5e72d7-40bd-45a4-9520-ebbef91fe9bd</t>
  </si>
  <si>
    <t>https://itochucorptest.sharepoint.com/sites/intra-messages/SitePages/MessagesFromChairman.aspx</t>
  </si>
  <si>
    <t>befcd3f5-d84e-4d86-b13b-1308f2106fd2</t>
  </si>
  <si>
    <t>https://itochucorptest.sharepoint.com/sites/intra-topics/SitePages/TopicsFromChairman.aspx</t>
  </si>
  <si>
    <t>6935daf3-ac1e-4f3d-86f0-ce1954af885c</t>
  </si>
  <si>
    <t>https://itochucorptest.sharepoint.com/sites/intra-archive/Lists/MessageFromPresident/Public2.aspx</t>
  </si>
  <si>
    <t>42996782-3d58-4510-a0bf-da7adfa884c8</t>
  </si>
  <si>
    <t>https://itochucorptest.sharepoint.com/sites/intra-tokgv-spais/SitePages/TopPage.aspx</t>
  </si>
  <si>
    <t>dde7d044-cae4-47eb-bd22-da32a77a1228</t>
  </si>
  <si>
    <t>https://itochucorptest.sharepoint.com/sites/intra-tokpj_hr-child_support/SitePages/TopPage.aspx</t>
  </si>
  <si>
    <t>257c3aec-e65b-4265-a475-c7d328c4e1b7</t>
  </si>
  <si>
    <t>ee7454a5-f098-4637-9af9-b01086d32942</t>
  </si>
  <si>
    <t>https://itochucorptest.sharepoint.com/sites/intra-tokpj_ga/Shared%20Documents/hansha/hanshatsuuchi.pdf</t>
  </si>
  <si>
    <t>61dddafc-881a-4a7b-9464-e1576b9c1cba</t>
  </si>
  <si>
    <t>d16a42be-bc10-4033-b08e-02330ad2145a</t>
  </si>
  <si>
    <t>https://itochucorptest.sharepoint.com/sites/intra-tokgv-SkyPDF</t>
  </si>
  <si>
    <t>0c260c3e-554f-4ce3-ae13-ec0cfe9ad93e</t>
  </si>
  <si>
    <t>https://itochucorptest.sharepoint.com/sites/intra-tokgv-DocuSign</t>
  </si>
  <si>
    <t>e1b4e7c7-6f44-418c-978d-6e7d05cf9e8e</t>
  </si>
  <si>
    <t>https://itochucorptest.sharepoint.com/sites/intra-tokgv-denshi-shomei-shiin</t>
  </si>
  <si>
    <t>139884ef-5023-4398-b5ce-222babcea9a7</t>
  </si>
  <si>
    <t>https://itochucorptest.sharepoint.com/sites/intra-tokpj_hr-training/SitePages/TopPage.aspx</t>
  </si>
  <si>
    <t>e7dff94c-3b17-4c32-8a91-dd9848fae91b</t>
  </si>
  <si>
    <t>https://itochucorptest.sharepoint.com/sites/intra-tokpj_hr-anpi/SitePages/安否確認サービス.aspx</t>
  </si>
  <si>
    <t>[ "安否確認サービス", "安否確認", "セコム安否確認", "安否確認サービス　ログイン", "安否確認サービスログイン" ]</t>
  </si>
  <si>
    <t>acbdbcfc-55b0-41b4-b6a3-93887c32b5e2</t>
  </si>
  <si>
    <t>https://itochucorptest.sharepoint.com/sites/extra-office/SitePages/benri/べんりねっと.aspx</t>
  </si>
  <si>
    <t>96728939-2b92-4260-aaa7-0d4e48e38749</t>
  </si>
  <si>
    <t>https://itochucorptest.sharepoint.com/sites/intra-tokpj_ga/SitePages/rule/社用印章等の手続・管理に関するマニュアル.aspx</t>
  </si>
  <si>
    <t>e535b52a-89b9-442d-9b47-3b58ec0280a6</t>
  </si>
  <si>
    <t>https://itochucorptest.sharepoint.com/sites/intra-tokpj_ga/SitePages/文書削減活動 関連情報サイト.aspx</t>
  </si>
  <si>
    <t>e2180b43-a7ec-45fd-9009-b9a28cd67c8e</t>
  </si>
  <si>
    <t>https://itochucorptest.sharepoint.com/sites/intra-tokpj_ga/Shared%20Documents/rule/bunsyokanrikisoku.pdf</t>
  </si>
  <si>
    <t>817998ab-1c0a-479a-85b1-4d7f43dea1d5</t>
  </si>
  <si>
    <t>https://itochucorptest.sharepoint.com/sites/intra-tokpj_ga/Shared%20Documents/rule/nengenhyo.pdf</t>
  </si>
  <si>
    <t>5daa3067-8c8c-496d-ac35-89379e46ba39</t>
  </si>
  <si>
    <t>07f47b96-d118-4210-9f53-b8bd6397abbf</t>
  </si>
  <si>
    <t>https://itochucorptest.sharepoint.com/sites/extra-office/SitePages/cpc/コピー・プリントサービスのご案内（東京）.aspx</t>
  </si>
  <si>
    <t>e16f2bee-beba-4a9d-9223-cc800e7337f0</t>
  </si>
  <si>
    <t>b7387b50-44e9-4694-a288-1e57581f48b2</t>
  </si>
  <si>
    <t>2070a621-4877-4132-98d2-db47fe750692</t>
  </si>
  <si>
    <t>https://itochucorptest.sharepoint.com/sites/extra-office/SitePages/jimu/pub/社名入広告宣伝品リスト.aspx</t>
  </si>
  <si>
    <t>32e9923a-4408-410d-b337-fb19a69b5396</t>
  </si>
  <si>
    <t>https://group-intratest.itochu.co.jp/sites/tokpj_ga/</t>
  </si>
  <si>
    <t>0de13bc4-fa83-4edd-858a-196bf577b173</t>
  </si>
  <si>
    <t>https://itochucorptest.sharepoint.com/sites/intra-form/DocLib006/Forms/AllItems.aspx?FilterField1=Category&amp;FilterValue1=03.給与・厚生関連&amp;FilterField2=Category2&amp;FilterValue2=04.福利厚生関連</t>
  </si>
  <si>
    <t>b1767a9d-401c-4b87-84e0-f6746e7e8285</t>
  </si>
  <si>
    <t>https://itochucorptest.sharepoint.com/sites/intra-tokgv-kinmu</t>
  </si>
  <si>
    <t>cd078a6f-6903-47e2-9015-befbf82d590c</t>
  </si>
  <si>
    <t>https://itochucorptest.sharepoint.com/sites/intra-tokgv-kinmu/Lists/kinmu_faq</t>
  </si>
  <si>
    <t>e5be2554-c755-40f8-842c-83e699e3c3a3</t>
  </si>
  <si>
    <t>https://itochucorptest.sharepoint.com/sites/intra-tokgv-keihi</t>
  </si>
  <si>
    <t>c4a417ae-b116-42e8-9e70-cc35e3568280</t>
  </si>
  <si>
    <t>https://itochucorptest.sharepoint.com/sites/intra-tokgv-keihi/Lists/keihi_faq</t>
  </si>
  <si>
    <t>[ "出張", "国内出張", "海外出張", "経費精算", "精算", "市内交通費", "事前申請", "３ｋ", "3k", "海外旅費", "追加入力者", "追加入力", "国内旅費", "代理起票", "チケット仮払い" ]</t>
  </si>
  <si>
    <t>ff1a4920-ecd8-4b6e-a55e-7f2fc20fc184</t>
  </si>
  <si>
    <t>https://hrportal.itochutest.co.jp/shain/kenpoiryouhi/userTop.aspx</t>
  </si>
  <si>
    <t>[ "医療費" ]</t>
  </si>
  <si>
    <t>検証作業完了後EXPORTした「advertisement.tsv」を貼り付け</t>
    <rPh sb="0" eb="2">
      <t>ケンショウ</t>
    </rPh>
    <rPh sb="2" eb="4">
      <t>サギョウ</t>
    </rPh>
    <rPh sb="4" eb="6">
      <t>カンリョウ</t>
    </rPh>
    <rPh sb="6" eb="7">
      <t>ゴ</t>
    </rPh>
    <rPh sb="35" eb="36">
      <t>ハ</t>
    </rPh>
    <rPh sb="37" eb="38">
      <t>ツ</t>
    </rPh>
    <phoneticPr fontId="1"/>
  </si>
  <si>
    <t>FAQサイトの場合、プライオリティを低く設定</t>
    <rPh sb="7" eb="9">
      <t>バアイ</t>
    </rPh>
    <rPh sb="18" eb="19">
      <t>ヒク</t>
    </rPh>
    <rPh sb="20" eb="22">
      <t>セッテイ</t>
    </rPh>
    <phoneticPr fontId="1"/>
  </si>
  <si>
    <t>例）「ID統合管理システム」と「ID統合管理システム FAQ」の場合</t>
    <rPh sb="0" eb="1">
      <t>レイ</t>
    </rPh>
    <rPh sb="5" eb="9">
      <t>トウゴウカンリ</t>
    </rPh>
    <rPh sb="18" eb="22">
      <t>トウゴウカンリ</t>
    </rPh>
    <rPh sb="32" eb="34">
      <t>バアイ</t>
    </rPh>
    <phoneticPr fontId="1"/>
  </si>
  <si>
    <t>「ID統合管理システム」のプライオリティ：1</t>
    <phoneticPr fontId="1"/>
  </si>
  <si>
    <t>「ID統合管理システム FAQ」のプライオリティ：2</t>
    <phoneticPr fontId="1"/>
  </si>
  <si>
    <t>ヘルプサイトの場合、プライオリティを低く設定</t>
    <rPh sb="7" eb="9">
      <t>バアイ</t>
    </rPh>
    <rPh sb="18" eb="19">
      <t>ヒク</t>
    </rPh>
    <rPh sb="20" eb="22">
      <t>セッテイ</t>
    </rPh>
    <phoneticPr fontId="1"/>
  </si>
  <si>
    <t>例）「申請書ポータル」と「申請書ポータル ヘルプサイト」の場合</t>
    <rPh sb="0" eb="1">
      <t>レイ</t>
    </rPh>
    <rPh sb="29" eb="31">
      <t>バアイ</t>
    </rPh>
    <phoneticPr fontId="1"/>
  </si>
  <si>
    <t>「申請書ポータル」のプライオリティ：1</t>
    <phoneticPr fontId="1"/>
  </si>
  <si>
    <t>「申請書ポータル ヘルプサイト」：2</t>
    <phoneticPr fontId="1"/>
  </si>
  <si>
    <t>以下IDは定期更新対象となる</t>
    <rPh sb="0" eb="2">
      <t>イカ</t>
    </rPh>
    <rPh sb="5" eb="9">
      <t>テイキコウシン</t>
    </rPh>
    <rPh sb="9" eb="11">
      <t>タイショウ</t>
    </rPh>
    <phoneticPr fontId="1"/>
  </si>
  <si>
    <t>id</t>
    <phoneticPr fontId="1"/>
  </si>
  <si>
    <t>title(2023/12/19時点)</t>
    <rPh sb="16" eb="18">
      <t>ジテン</t>
    </rPh>
    <phoneticPr fontId="1"/>
  </si>
  <si>
    <t>時間管理・朝型勤務</t>
    <rPh sb="0" eb="4">
      <t>ジカンカンリ</t>
    </rPh>
    <rPh sb="5" eb="7">
      <t>アサガタ</t>
    </rPh>
    <rPh sb="7" eb="9">
      <t>キンム</t>
    </rPh>
    <phoneticPr fontId="1"/>
  </si>
  <si>
    <t>2023年度変動給支給日</t>
    <phoneticPr fontId="1"/>
  </si>
  <si>
    <t>安否確認サービスログイン</t>
    <phoneticPr fontId="1"/>
  </si>
  <si>
    <t>精算</t>
    <phoneticPr fontId="1"/>
  </si>
  <si>
    <t>ｓｄｇｓ</t>
    <phoneticPr fontId="1"/>
  </si>
  <si>
    <t>SST</t>
    <phoneticPr fontId="1"/>
  </si>
  <si>
    <t>タイプ別仕訳分析表</t>
    <phoneticPr fontId="1"/>
  </si>
  <si>
    <t>基本ｉｄ</t>
    <phoneticPr fontId="1"/>
  </si>
  <si>
    <t>経費支払事後点検</t>
    <phoneticPr fontId="1"/>
  </si>
  <si>
    <t>事業会社区分</t>
    <phoneticPr fontId="1"/>
  </si>
  <si>
    <t>食堂</t>
    <phoneticPr fontId="1"/>
  </si>
  <si>
    <t>文書保存箱管理</t>
    <phoneticPr fontId="1"/>
  </si>
  <si>
    <t>変動給</t>
    <phoneticPr fontId="1"/>
  </si>
  <si>
    <t>48b7106b-5440-40cb-b3c2-c9f5489fd468</t>
  </si>
  <si>
    <t>25d2ce45-4b06-4121-a632-398ee605a789</t>
  </si>
  <si>
    <t>a21c9976-c6b0-4160-b384-bc8595750085</t>
  </si>
  <si>
    <t>a8ddcd4f-14d4-4120-b310-ec7a74ab43ef</t>
  </si>
  <si>
    <t>53b03ac4-ae1c-4cdb-99d4-fd34aa96e0b1</t>
  </si>
  <si>
    <t>00ff53ad-ae66-4962-9869-eb4e1b336e1d</t>
  </si>
  <si>
    <t>[ "源泉徴収", "源泉徴収表", "源泉", "源泉徴収票", "給与明細", "band通知書", "ｂａｎｄ通知書", "grade通知書", "ｇｒａｄｅ通知書", "海外給与", "異動決定", "web評価", "ｗｅｂ評価", "身上異動", "年末調整", "親展通知", "親展", "通知", "給与", "異動", "年調", "身上", "マイナンバー", "賞与", "ボーナス", "明細"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</si>
</sst>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3" x14ac:knownFonts="1">
    <font>
      <sz val="11"/>
      <color theme="1"/>
      <name val="Meiryo UI"/>
      <family val="2"/>
      <charset val="128"/>
      <scheme val="minor"/>
    </font>
    <font>
      <sz val="6"/>
      <name val="Meiryo UI"/>
      <family val="2"/>
      <charset val="128"/>
      <scheme val="minor"/>
    </font>
    <font>
      <b/>
      <sz val="11"/>
      <color theme="0"/>
      <name val="Meiryo UI"/>
      <family val="2"/>
      <charset val="128"/>
      <scheme val="minor"/>
    </font>
    <font>
      <b/>
      <sz val="11"/>
      <color theme="1"/>
      <name val="Meiryo UI"/>
      <family val="3"/>
      <charset val="128"/>
      <scheme val="minor"/>
    </font>
    <font>
      <b/>
      <sz val="11"/>
      <color rgb="FF000000"/>
      <name val="游ゴシック"/>
      <family val="3"/>
      <charset val="128"/>
    </font>
    <font>
      <b/>
      <sz val="10"/>
      <color rgb="FFFFFFFF"/>
      <name val="Meiryo UI"/>
      <family val="3"/>
      <charset val="128"/>
    </font>
    <font>
      <sz val="6"/>
      <name val="Meiryo UI"/>
      <family val="3"/>
      <charset val="128"/>
    </font>
    <font>
      <sz val="10"/>
      <color rgb="FF000000"/>
      <name val="Meiryo UI"/>
      <family val="3"/>
      <charset val="128"/>
    </font>
    <font>
      <b/>
      <sz val="11"/>
      <color rgb="FFFF0000"/>
      <name val="Meiryo UI"/>
      <family val="3"/>
      <charset val="128"/>
      <scheme val="minor"/>
    </font>
    <font>
      <sz val="11"/>
      <color theme="1"/>
      <name val="Meiryo UI"/>
      <family val="3"/>
      <charset val="128"/>
      <scheme val="minor"/>
    </font>
    <font>
      <sz val="11"/>
      <color theme="1"/>
      <name val="Meiryo UI"/>
      <family val="2"/>
      <scheme val="minor"/>
    </font>
    <font>
      <sz val="6"/>
      <name val="Meiryo UI"/>
      <family val="3"/>
      <charset val="128"/>
      <scheme val="minor"/>
    </font>
    <font>
      <sz val="11"/>
      <color theme="1"/>
      <name val="Meiryo UI"/>
      <family val="3"/>
      <charset val="128"/>
    </font>
  </fonts>
  <fills count="13">
    <fill>
      <patternFill patternType="none"/>
    </fill>
    <fill>
      <patternFill patternType="gray125"/>
    </fill>
    <fill>
      <patternFill patternType="solid">
        <fgColor theme="4"/>
        <bgColor theme="4"/>
      </patternFill>
    </fill>
    <fill>
      <patternFill patternType="solid">
        <fgColor rgb="FF4F81BD" tint="-0.249977111117893"/>
        <bgColor indexed="64"/>
      </patternFill>
    </fill>
    <fill>
      <patternFill patternType="solid">
        <fgColor rgb="FFC0504D" tint="-0.249977111117893"/>
        <bgColor indexed="64"/>
      </patternFill>
    </fill>
    <fill>
      <patternFill patternType="solid">
        <fgColor rgb="FF8064A2" tint="-0.249977111117893"/>
        <bgColor indexed="64"/>
      </patternFill>
    </fill>
    <fill>
      <patternFill patternType="solid">
        <fgColor rgb="FFF79646" tint="-0.249977111117893"/>
        <bgColor indexed="64"/>
      </patternFill>
    </fill>
    <fill>
      <patternFill patternType="solid">
        <fgColor rgb="FF4F81BD" tint="0.79998168889431442"/>
        <bgColor indexed="64"/>
      </patternFill>
    </fill>
    <fill>
      <patternFill patternType="solid">
        <fgColor rgb="FFC0504D" tint="0.79998168889431442"/>
        <bgColor indexed="64"/>
      </patternFill>
    </fill>
    <fill>
      <patternFill patternType="solid">
        <fgColor rgb="FF8064A2" tint="0.79998168889431442"/>
        <bgColor indexed="64"/>
      </patternFill>
    </fill>
    <fill>
      <patternFill patternType="solid">
        <fgColor rgb="FFF79646" tint="0.79998168889431442"/>
        <bgColor indexed="64"/>
      </patternFill>
    </fill>
    <fill>
      <patternFill patternType="solid">
        <fgColor theme="0"/>
        <bgColor indexed="64"/>
      </patternFill>
    </fill>
    <fill>
      <patternFill patternType="solid">
        <fgColor theme="8" tint="0.79998168889431442"/>
        <bgColor indexed="64"/>
      </patternFill>
    </fill>
  </fills>
  <borders count="10">
    <border>
      <left/>
      <right/>
      <top/>
      <bottom/>
      <diagonal/>
    </border>
    <border>
      <left/>
      <right/>
      <top style="thin">
        <color theme="4" tint="0.39997558519241921"/>
      </top>
      <bottom/>
      <diagonal/>
    </border>
    <border>
      <left/>
      <right/>
      <top style="thin">
        <color rgb="FFFFFFFF"/>
      </top>
      <bottom style="thin">
        <color rgb="FFFFFFFF"/>
      </bottom>
      <diagonal/>
    </border>
    <border>
      <left/>
      <right/>
      <top/>
      <bottom style="thin">
        <color rgb="FFFFFFFF"/>
      </bottom>
      <diagonal/>
    </border>
    <border>
      <left/>
      <right/>
      <top style="hair">
        <color rgb="FFFFFFFF"/>
      </top>
      <bottom style="hair">
        <color rgb="FFFFFFFF"/>
      </bottom>
      <diagonal/>
    </border>
    <border>
      <left/>
      <right/>
      <top style="hair">
        <color rgb="FFFFFFFF"/>
      </top>
      <bottom/>
      <diagonal/>
    </border>
    <border>
      <left style="thin">
        <color theme="4" tint="0.39997558519241921"/>
      </left>
      <right/>
      <top style="thin">
        <color theme="4" tint="0.39997558519241921"/>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alignment vertical="center"/>
    </xf>
    <xf numFmtId="0" fontId="10" fillId="0" borderId="0"/>
  </cellStyleXfs>
  <cellXfs count="37">
    <xf numFmtId="0" fontId="0" fillId="0" borderId="0" xfId="0">
      <alignment vertical="center"/>
    </xf>
    <xf numFmtId="0" fontId="0" fillId="0" borderId="0" xfId="0" applyAlignment="1">
      <alignment vertical="center" wrapText="1"/>
    </xf>
    <xf numFmtId="0" fontId="0" fillId="0" borderId="1" xfId="0" applyFill="1" applyBorder="1">
      <alignment vertical="center"/>
    </xf>
    <xf numFmtId="0" fontId="0" fillId="0" borderId="0" xfId="0">
      <alignment vertical="center"/>
    </xf>
    <xf numFmtId="49" fontId="0" fillId="0" borderId="0" xfId="0" applyNumberFormat="1">
      <alignment vertical="center"/>
    </xf>
    <xf numFmtId="0" fontId="0" fillId="0" borderId="0" xfId="0" applyFont="1">
      <alignment vertical="center"/>
    </xf>
    <xf numFmtId="0" fontId="9" fillId="0" borderId="0" xfId="0" applyFont="1">
      <alignment vertical="center"/>
    </xf>
    <xf numFmtId="0" fontId="3" fillId="0" borderId="0" xfId="0" applyFont="1">
      <alignment vertical="center"/>
    </xf>
    <xf numFmtId="0" fontId="2" fillId="2" borderId="0" xfId="0" applyFont="1" applyFill="1" applyBorder="1" applyAlignment="1">
      <alignment vertical="center" wrapText="1"/>
    </xf>
    <xf numFmtId="0" fontId="0" fillId="0" borderId="1" xfId="0" applyFont="1" applyFill="1" applyBorder="1">
      <alignment vertical="center"/>
    </xf>
    <xf numFmtId="49" fontId="3" fillId="0" borderId="0" xfId="0" applyNumberFormat="1" applyFont="1">
      <alignment vertical="center"/>
    </xf>
    <xf numFmtId="49" fontId="0" fillId="0" borderId="0" xfId="0" applyNumberFormat="1" applyFont="1">
      <alignment vertical="center"/>
    </xf>
    <xf numFmtId="0" fontId="0" fillId="0" borderId="0" xfId="0" applyFont="1" applyAlignment="1">
      <alignment vertical="center" wrapText="1"/>
    </xf>
    <xf numFmtId="49" fontId="5" fillId="3" borderId="2" xfId="0" applyNumberFormat="1" applyFont="1" applyFill="1" applyBorder="1">
      <alignment vertical="center"/>
    </xf>
    <xf numFmtId="0" fontId="5" fillId="4" borderId="2" xfId="0" applyFont="1" applyFill="1" applyBorder="1">
      <alignment vertical="center"/>
    </xf>
    <xf numFmtId="0" fontId="5" fillId="5" borderId="2" xfId="0" applyFont="1" applyFill="1" applyBorder="1">
      <alignment vertical="center"/>
    </xf>
    <xf numFmtId="0" fontId="5" fillId="6" borderId="2" xfId="0" applyFont="1" applyFill="1" applyBorder="1" applyAlignment="1">
      <alignment vertical="center" wrapText="1"/>
    </xf>
    <xf numFmtId="49" fontId="5" fillId="3" borderId="3" xfId="0" applyNumberFormat="1" applyFont="1" applyFill="1" applyBorder="1" applyAlignment="1">
      <alignment vertical="center" wrapText="1"/>
    </xf>
    <xf numFmtId="0" fontId="5" fillId="4" borderId="2" xfId="0" applyFont="1" applyFill="1" applyBorder="1" applyAlignment="1">
      <alignment vertical="center" wrapText="1"/>
    </xf>
    <xf numFmtId="49" fontId="5" fillId="5" borderId="2" xfId="0" applyNumberFormat="1" applyFont="1" applyFill="1" applyBorder="1" applyAlignment="1">
      <alignment vertical="center" wrapText="1"/>
    </xf>
    <xf numFmtId="49" fontId="7" fillId="7" borderId="4" xfId="0" applyNumberFormat="1" applyFont="1" applyFill="1" applyBorder="1">
      <alignment vertical="center"/>
    </xf>
    <xf numFmtId="49" fontId="7" fillId="8" borderId="4" xfId="0" applyNumberFormat="1" applyFont="1" applyFill="1" applyBorder="1">
      <alignment vertical="center"/>
    </xf>
    <xf numFmtId="176" fontId="7" fillId="9" borderId="4" xfId="0" applyNumberFormat="1" applyFont="1" applyFill="1" applyBorder="1">
      <alignment vertical="center"/>
    </xf>
    <xf numFmtId="176" fontId="7" fillId="10" borderId="4" xfId="0" applyNumberFormat="1" applyFont="1" applyFill="1" applyBorder="1" applyAlignment="1">
      <alignment vertical="center" wrapText="1"/>
    </xf>
    <xf numFmtId="49" fontId="7" fillId="7" borderId="5" xfId="0" applyNumberFormat="1" applyFont="1" applyFill="1" applyBorder="1">
      <alignment vertical="center"/>
    </xf>
    <xf numFmtId="49" fontId="7" fillId="8" borderId="5" xfId="0" applyNumberFormat="1" applyFont="1" applyFill="1" applyBorder="1">
      <alignment vertical="center"/>
    </xf>
    <xf numFmtId="176" fontId="7" fillId="9" borderId="5" xfId="0" applyNumberFormat="1" applyFont="1" applyFill="1" applyBorder="1">
      <alignment vertical="center"/>
    </xf>
    <xf numFmtId="0" fontId="0" fillId="11" borderId="1" xfId="0" applyFont="1" applyFill="1" applyBorder="1">
      <alignment vertical="center"/>
    </xf>
    <xf numFmtId="49" fontId="10" fillId="0" borderId="0" xfId="1" applyNumberFormat="1"/>
    <xf numFmtId="49" fontId="12" fillId="0" borderId="6" xfId="1" applyNumberFormat="1" applyFont="1" applyBorder="1" applyAlignment="1">
      <alignment vertical="center"/>
    </xf>
    <xf numFmtId="49" fontId="12" fillId="0" borderId="0" xfId="1" applyNumberFormat="1" applyFont="1"/>
    <xf numFmtId="0" fontId="0" fillId="0" borderId="8" xfId="0" applyBorder="1" applyAlignment="1">
      <alignment vertical="center"/>
    </xf>
    <xf numFmtId="0" fontId="0" fillId="0" borderId="9" xfId="0" applyBorder="1" applyAlignment="1">
      <alignment vertical="center"/>
    </xf>
    <xf numFmtId="0" fontId="0" fillId="0" borderId="7" xfId="0" applyBorder="1" applyAlignment="1">
      <alignment vertical="center"/>
    </xf>
    <xf numFmtId="0" fontId="0" fillId="12" borderId="8" xfId="0" applyFill="1" applyBorder="1" applyAlignment="1">
      <alignment vertical="center"/>
    </xf>
    <xf numFmtId="0" fontId="0" fillId="12" borderId="9" xfId="0" applyFill="1" applyBorder="1" applyAlignment="1">
      <alignment vertical="center"/>
    </xf>
    <xf numFmtId="0" fontId="0" fillId="12" borderId="7" xfId="0" applyFill="1" applyBorder="1" applyAlignment="1">
      <alignment vertical="center"/>
    </xf>
  </cellXfs>
  <cellStyles count="2">
    <cellStyle name="標準" xfId="0" builtinId="0"/>
    <cellStyle name="標準 2" xfId="1" xr:uid="{E0E1AD98-7946-43EE-96A6-C3431C367421}"/>
  </cellStyles>
  <dxfs count="58">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strike val="0"/>
        <outline val="0"/>
        <shadow val="0"/>
        <u val="none"/>
        <vertAlign val="baseline"/>
        <sz val="11"/>
        <color theme="1"/>
        <name val="Meiryo UI"/>
        <family val="3"/>
        <charset val="128"/>
        <scheme val="none"/>
      </font>
      <numFmt numFmtId="30" formatCode="@"/>
    </dxf>
    <dxf>
      <font>
        <strike val="0"/>
        <outline val="0"/>
        <shadow val="0"/>
        <u val="none"/>
        <vertAlign val="baseline"/>
        <sz val="11"/>
        <color theme="1"/>
        <name val="Meiryo UI"/>
        <family val="3"/>
        <charset val="128"/>
        <scheme val="none"/>
      </font>
      <numFmt numFmtId="30" formatCode="@"/>
    </dxf>
    <dxf>
      <font>
        <strike val="0"/>
        <outline val="0"/>
        <shadow val="0"/>
        <u val="none"/>
        <vertAlign val="baseline"/>
        <sz val="11"/>
        <color theme="1"/>
        <name val="Meiryo UI"/>
        <family val="3"/>
        <charset val="128"/>
        <scheme val="none"/>
      </font>
      <numFmt numFmtId="30" formatCode="@"/>
    </dxf>
    <dxf>
      <font>
        <strike val="0"/>
        <outline val="0"/>
        <shadow val="0"/>
        <u val="none"/>
        <vertAlign val="baseline"/>
        <sz val="11"/>
        <color theme="1"/>
        <name val="Meiryo UI"/>
        <family val="3"/>
        <charset val="128"/>
        <scheme val="none"/>
      </font>
      <numFmt numFmtId="30" formatCode="@"/>
      <alignment horizontal="general" vertical="center" textRotation="0" wrapText="0" indent="0" justifyLastLine="0" shrinkToFit="0" readingOrder="0"/>
      <border diagonalUp="0" diagonalDown="0" outline="0">
        <left style="thin">
          <color theme="4" tint="0.39997558519241921"/>
        </left>
        <right/>
        <top style="thin">
          <color theme="4" tint="0.39997558519241921"/>
        </top>
        <bottom/>
      </border>
    </dxf>
    <dxf>
      <font>
        <strike val="0"/>
        <outline val="0"/>
        <shadow val="0"/>
        <u val="none"/>
        <vertAlign val="baseline"/>
        <sz val="11"/>
        <color theme="1"/>
        <name val="Meiryo UI"/>
        <family val="3"/>
        <charset val="128"/>
        <scheme val="none"/>
      </font>
      <numFmt numFmtId="30" formatCode="@"/>
    </dxf>
    <dxf>
      <numFmt numFmtId="30" formatCode="@"/>
    </dxf>
    <dxf>
      <numFmt numFmtId="176" formatCode="0_);[Red]\(0\)"/>
      <alignment horizontal="general" vertical="center" textRotation="0" wrapText="1" indent="0" justifyLastLine="0" shrinkToFit="0" readingOrder="0"/>
    </dxf>
    <dxf>
      <numFmt numFmtId="176" formatCode="0_);[Red]\(0\)"/>
    </dxf>
    <dxf>
      <numFmt numFmtId="176" formatCode="0_);[Red]\(0\)"/>
    </dxf>
    <dxf>
      <numFmt numFmtId="176" formatCode="0_);[Red]\(0\)"/>
    </dxf>
    <dxf>
      <numFmt numFmtId="176" formatCode="0_);[Red]\(0\)"/>
    </dxf>
    <dxf>
      <numFmt numFmtId="176" formatCode="0_);[Red]\(0\)"/>
    </dxf>
    <dxf>
      <numFmt numFmtId="176" formatCode="0_);[Red]\(0\)"/>
    </dxf>
    <dxf>
      <numFmt numFmtId="176" formatCode="0_);[Red]\(0\)"/>
    </dxf>
    <dxf>
      <numFmt numFmtId="176" formatCode="0_);[Red]\(0\)"/>
    </dxf>
    <dxf>
      <numFmt numFmtId="30" formatCode="@"/>
    </dxf>
    <dxf>
      <numFmt numFmtId="30" formatCode="@"/>
    </dxf>
    <dxf>
      <numFmt numFmtId="30" formatCode="@"/>
      <border diagonalUp="0" diagonalDown="0">
        <left/>
        <right/>
        <top style="hair">
          <color rgb="FFFFFFFF"/>
        </top>
        <bottom/>
        <vertical/>
        <horizontal/>
      </border>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border outline="0">
        <top style="hair">
          <color rgb="FFFFFFFF"/>
        </top>
      </border>
    </dxf>
    <dxf>
      <border outline="0">
        <top style="thin">
          <color rgb="FFFFFFFF"/>
        </top>
        <bottom style="hair">
          <color rgb="FFFFFFFF"/>
        </bottom>
      </border>
    </dxf>
    <dxf>
      <border outline="0">
        <bottom style="thin">
          <color rgb="FFFFFFFF"/>
        </bottom>
      </border>
    </dxf>
    <dxf>
      <alignment horizontal="general" vertical="center" textRotation="0" wrapText="1" indent="0" justifyLastLine="0" shrinkToFit="0" readingOrder="0"/>
    </dxf>
    <dxf>
      <font>
        <b val="0"/>
        <i val="0"/>
        <strike val="0"/>
        <condense val="0"/>
        <extend val="0"/>
        <outline val="0"/>
        <shadow val="0"/>
        <u val="none"/>
        <vertAlign val="baseline"/>
        <sz val="11"/>
        <color theme="1"/>
        <name val="Meiryo UI"/>
        <family val="2"/>
        <charset val="128"/>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Meiryo UI"/>
        <family val="2"/>
        <charset val="128"/>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Meiryo UI"/>
        <family val="2"/>
        <charset val="128"/>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Meiryo UI"/>
        <family val="2"/>
        <charset val="128"/>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Meiryo UI"/>
        <family val="2"/>
        <charset val="128"/>
        <scheme val="minor"/>
      </font>
      <fill>
        <patternFill patternType="none">
          <fgColor indexed="64"/>
          <bgColor auto="1"/>
        </patternFill>
      </fill>
      <border diagonalUp="0" diagonalDown="0" outline="0">
        <left/>
        <right/>
        <top style="thin">
          <color theme="4" tint="0.39997558519241921"/>
        </top>
        <bottom/>
      </border>
    </dxf>
    <dxf>
      <fill>
        <patternFill patternType="none">
          <fgColor indexed="64"/>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Meiryo UI"/>
        <family val="2"/>
        <charset val="128"/>
        <scheme val="minor"/>
      </font>
      <fill>
        <patternFill patternType="none">
          <fgColor indexed="64"/>
          <bgColor auto="1"/>
        </patternFill>
      </fill>
    </dxf>
    <dxf>
      <font>
        <b/>
        <i val="0"/>
        <strike val="0"/>
        <condense val="0"/>
        <extend val="0"/>
        <outline val="0"/>
        <shadow val="0"/>
        <u val="none"/>
        <vertAlign val="baseline"/>
        <sz val="11"/>
        <color theme="0"/>
        <name val="Meiryo UI"/>
        <family val="2"/>
        <charset val="128"/>
        <scheme val="minor"/>
      </font>
      <fill>
        <patternFill patternType="solid">
          <fgColor theme="4"/>
          <bgColor theme="4"/>
        </patternFill>
      </fill>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20</xdr:col>
      <xdr:colOff>9524</xdr:colOff>
      <xdr:row>135</xdr:row>
      <xdr:rowOff>9525</xdr:rowOff>
    </xdr:from>
    <xdr:to>
      <xdr:col>41</xdr:col>
      <xdr:colOff>234196</xdr:colOff>
      <xdr:row>149</xdr:row>
      <xdr:rowOff>57150</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a:stretch>
          <a:fillRect/>
        </a:stretch>
      </xdr:blipFill>
      <xdr:spPr>
        <a:xfrm>
          <a:off x="6105524" y="28822650"/>
          <a:ext cx="7625597" cy="2847975"/>
        </a:xfrm>
        <a:prstGeom prst="rect">
          <a:avLst/>
        </a:prstGeom>
        <a:ln w="3175" cap="rnd">
          <a:solidFill>
            <a:schemeClr val="tx1"/>
          </a:solidFill>
        </a:ln>
      </xdr:spPr>
    </xdr:pic>
    <xdr:clientData/>
  </xdr:twoCellAnchor>
  <xdr:twoCellAnchor editAs="oneCell">
    <xdr:from>
      <xdr:col>1</xdr:col>
      <xdr:colOff>0</xdr:colOff>
      <xdr:row>8</xdr:row>
      <xdr:rowOff>1</xdr:rowOff>
    </xdr:from>
    <xdr:to>
      <xdr:col>16</xdr:col>
      <xdr:colOff>238125</xdr:colOff>
      <xdr:row>28</xdr:row>
      <xdr:rowOff>183445</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304800" y="1905001"/>
          <a:ext cx="5524500" cy="4183944"/>
        </a:xfrm>
        <a:prstGeom prst="rect">
          <a:avLst/>
        </a:prstGeom>
        <a:ln w="3175" cap="rnd">
          <a:solidFill>
            <a:schemeClr val="tx1"/>
          </a:solidFill>
        </a:ln>
      </xdr:spPr>
    </xdr:pic>
    <xdr:clientData/>
  </xdr:twoCellAnchor>
  <xdr:twoCellAnchor editAs="oneCell">
    <xdr:from>
      <xdr:col>1</xdr:col>
      <xdr:colOff>1</xdr:colOff>
      <xdr:row>52</xdr:row>
      <xdr:rowOff>0</xdr:rowOff>
    </xdr:from>
    <xdr:to>
      <xdr:col>32</xdr:col>
      <xdr:colOff>3431</xdr:colOff>
      <xdr:row>76</xdr:row>
      <xdr:rowOff>149281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304801" y="11668125"/>
          <a:ext cx="10928605" cy="4949881"/>
        </a:xfrm>
        <a:prstGeom prst="rect">
          <a:avLst/>
        </a:prstGeom>
        <a:ln w="3175" cap="rnd">
          <a:solidFill>
            <a:schemeClr val="tx1"/>
          </a:solidFill>
        </a:ln>
      </xdr:spPr>
    </xdr:pic>
    <xdr:clientData/>
  </xdr:twoCellAnchor>
  <xdr:twoCellAnchor>
    <xdr:from>
      <xdr:col>1</xdr:col>
      <xdr:colOff>104774</xdr:colOff>
      <xdr:row>54</xdr:row>
      <xdr:rowOff>123825</xdr:rowOff>
    </xdr:from>
    <xdr:to>
      <xdr:col>11</xdr:col>
      <xdr:colOff>295275</xdr:colOff>
      <xdr:row>76</xdr:row>
      <xdr:rowOff>0</xdr:rowOff>
    </xdr:to>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457199" y="10325100"/>
          <a:ext cx="3714751" cy="42767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80</xdr:row>
      <xdr:rowOff>0</xdr:rowOff>
    </xdr:from>
    <xdr:to>
      <xdr:col>32</xdr:col>
      <xdr:colOff>3430</xdr:colOff>
      <xdr:row>104</xdr:row>
      <xdr:rowOff>149281</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304800" y="17621250"/>
          <a:ext cx="10928605" cy="4949881"/>
        </a:xfrm>
        <a:prstGeom prst="rect">
          <a:avLst/>
        </a:prstGeom>
        <a:ln w="3175" cap="rnd">
          <a:solidFill>
            <a:schemeClr val="tx1"/>
          </a:solidFill>
        </a:ln>
      </xdr:spPr>
    </xdr:pic>
    <xdr:clientData/>
  </xdr:twoCellAnchor>
  <xdr:twoCellAnchor>
    <xdr:from>
      <xdr:col>11</xdr:col>
      <xdr:colOff>304800</xdr:colOff>
      <xdr:row>82</xdr:row>
      <xdr:rowOff>57151</xdr:rowOff>
    </xdr:from>
    <xdr:to>
      <xdr:col>19</xdr:col>
      <xdr:colOff>171450</xdr:colOff>
      <xdr:row>104</xdr:row>
      <xdr:rowOff>19051</xdr:rowOff>
    </xdr:to>
    <xdr:sp macro="" textlink="">
      <xdr:nvSpPr>
        <xdr:cNvPr id="6" name="正方形/長方形 5">
          <a:extLst>
            <a:ext uri="{FF2B5EF4-FFF2-40B4-BE49-F238E27FC236}">
              <a16:creationId xmlns:a16="http://schemas.microsoft.com/office/drawing/2014/main" id="{00000000-0008-0000-0000-000006000000}"/>
            </a:ext>
          </a:extLst>
        </xdr:cNvPr>
        <xdr:cNvSpPr/>
      </xdr:nvSpPr>
      <xdr:spPr>
        <a:xfrm>
          <a:off x="4181475" y="16459201"/>
          <a:ext cx="2686050" cy="436245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107</xdr:row>
      <xdr:rowOff>0</xdr:rowOff>
    </xdr:from>
    <xdr:to>
      <xdr:col>32</xdr:col>
      <xdr:colOff>3430</xdr:colOff>
      <xdr:row>131</xdr:row>
      <xdr:rowOff>149281</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352425" y="19402425"/>
          <a:ext cx="10928605" cy="4949881"/>
        </a:xfrm>
        <a:prstGeom prst="rect">
          <a:avLst/>
        </a:prstGeom>
        <a:ln w="3175" cap="rnd">
          <a:solidFill>
            <a:schemeClr val="tx1"/>
          </a:solidFill>
        </a:ln>
      </xdr:spPr>
    </xdr:pic>
    <xdr:clientData/>
  </xdr:twoCellAnchor>
  <xdr:twoCellAnchor>
    <xdr:from>
      <xdr:col>19</xdr:col>
      <xdr:colOff>209550</xdr:colOff>
      <xdr:row>109</xdr:row>
      <xdr:rowOff>38100</xdr:rowOff>
    </xdr:from>
    <xdr:to>
      <xdr:col>32</xdr:col>
      <xdr:colOff>0</xdr:colOff>
      <xdr:row>131</xdr:row>
      <xdr:rowOff>152400</xdr:rowOff>
    </xdr:to>
    <xdr:sp macro="" textlink="">
      <xdr:nvSpPr>
        <xdr:cNvPr id="8" name="正方形/長方形 7">
          <a:extLst>
            <a:ext uri="{FF2B5EF4-FFF2-40B4-BE49-F238E27FC236}">
              <a16:creationId xmlns:a16="http://schemas.microsoft.com/office/drawing/2014/main" id="{00000000-0008-0000-0000-000008000000}"/>
            </a:ext>
          </a:extLst>
        </xdr:cNvPr>
        <xdr:cNvSpPr/>
      </xdr:nvSpPr>
      <xdr:spPr>
        <a:xfrm>
          <a:off x="6905625" y="21840825"/>
          <a:ext cx="4371975" cy="451485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276226</xdr:colOff>
      <xdr:row>134</xdr:row>
      <xdr:rowOff>219075</xdr:rowOff>
    </xdr:from>
    <xdr:to>
      <xdr:col>15</xdr:col>
      <xdr:colOff>152401</xdr:colOff>
      <xdr:row>159</xdr:row>
      <xdr:rowOff>149281</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3"/>
        <a:srcRect r="52761"/>
        <a:stretch/>
      </xdr:blipFill>
      <xdr:spPr>
        <a:xfrm>
          <a:off x="276226" y="28794075"/>
          <a:ext cx="5162550" cy="4949881"/>
        </a:xfrm>
        <a:prstGeom prst="rect">
          <a:avLst/>
        </a:prstGeom>
        <a:ln w="3175" cap="rnd">
          <a:solidFill>
            <a:schemeClr val="tx1"/>
          </a:solidFill>
        </a:ln>
      </xdr:spPr>
    </xdr:pic>
    <xdr:clientData/>
  </xdr:twoCellAnchor>
  <xdr:twoCellAnchor>
    <xdr:from>
      <xdr:col>20</xdr:col>
      <xdr:colOff>219075</xdr:colOff>
      <xdr:row>137</xdr:row>
      <xdr:rowOff>114299</xdr:rowOff>
    </xdr:from>
    <xdr:to>
      <xdr:col>28</xdr:col>
      <xdr:colOff>276225</xdr:colOff>
      <xdr:row>138</xdr:row>
      <xdr:rowOff>28575</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7267575" y="27517724"/>
          <a:ext cx="2876550" cy="11430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38100</xdr:colOff>
      <xdr:row>136</xdr:row>
      <xdr:rowOff>200024</xdr:rowOff>
    </xdr:from>
    <xdr:to>
      <xdr:col>11</xdr:col>
      <xdr:colOff>238125</xdr:colOff>
      <xdr:row>137</xdr:row>
      <xdr:rowOff>161924</xdr:rowOff>
    </xdr:to>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90525" y="27403424"/>
          <a:ext cx="3724275" cy="1619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266700</xdr:colOff>
      <xdr:row>134</xdr:row>
      <xdr:rowOff>161924</xdr:rowOff>
    </xdr:from>
    <xdr:to>
      <xdr:col>24</xdr:col>
      <xdr:colOff>76200</xdr:colOff>
      <xdr:row>136</xdr:row>
      <xdr:rowOff>152399</xdr:rowOff>
    </xdr:to>
    <xdr:sp macro="" textlink="">
      <xdr:nvSpPr>
        <xdr:cNvPr id="16" name="矢印: 下カーブ 15">
          <a:extLst>
            <a:ext uri="{FF2B5EF4-FFF2-40B4-BE49-F238E27FC236}">
              <a16:creationId xmlns:a16="http://schemas.microsoft.com/office/drawing/2014/main" id="{00000000-0008-0000-0000-000010000000}"/>
            </a:ext>
          </a:extLst>
        </xdr:cNvPr>
        <xdr:cNvSpPr/>
      </xdr:nvSpPr>
      <xdr:spPr>
        <a:xfrm>
          <a:off x="3924300" y="28736924"/>
          <a:ext cx="3467100" cy="466725"/>
        </a:xfrm>
        <a:prstGeom prst="curvedDownArrow">
          <a:avLst>
            <a:gd name="adj1" fmla="val 2901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323850</xdr:colOff>
          <xdr:row>1</xdr:row>
          <xdr:rowOff>114300</xdr:rowOff>
        </xdr:from>
        <xdr:to>
          <xdr:col>9</xdr:col>
          <xdr:colOff>114300</xdr:colOff>
          <xdr:row>3</xdr:row>
          <xdr:rowOff>85725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0" u="none" strike="noStrike" baseline="0">
                  <a:solidFill>
                    <a:srgbClr val="000000"/>
                  </a:solidFill>
                  <a:latin typeface="游ゴシック"/>
                  <a:ea typeface="游ゴシック"/>
                </a:rPr>
                <a:t>重複キーワード抽出</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DD9DE4C-4972-47EC-A64F-AA29C51E1B15}" name="テーブル4" displayName="テーブル4" ref="A1:F388" totalsRowShown="0" headerRowDxfId="57" dataDxfId="56" tableBorderDxfId="55">
  <autoFilter ref="A1:F388" xr:uid="{7DD9DE4C-4972-47EC-A64F-AA29C51E1B15}"/>
  <tableColumns count="6">
    <tableColumn id="1" xr3:uid="{3476F676-0A7D-44C1-8772-336AE0C9C1C7}" name="keyword" dataDxfId="54"/>
    <tableColumn id="2" xr3:uid="{CC12787F-E69D-46CA-8ED6-B8058CD5F8F6}" name="キーワード設定個数" dataDxfId="53"/>
    <tableColumn id="3" xr3:uid="{969E1A92-E166-4A61-A112-161B7030A88E}" name="①title" dataDxfId="52"/>
    <tableColumn id="4" xr3:uid="{BDE95C7D-B1DC-4E0E-8B8C-3D0925F86935}" name="②title" dataDxfId="51"/>
    <tableColumn id="5" xr3:uid="{70F42F53-7EE1-4FC6-B31F-D2CA7FA10B95}" name="③title" dataDxfId="50"/>
    <tableColumn id="6" xr3:uid="{5D8C469A-4B34-407B-BE70-62F9225D3957}" name="④title" dataDxfId="4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16CD3E-A8B6-4EAD-9081-89171081EB02}" name="テーブル14" displayName="テーブル14" ref="A4:X179" totalsRowShown="0" headerRowDxfId="48" headerRowBorderDxfId="47" tableBorderDxfId="46" totalsRowBorderDxfId="45">
  <autoFilter ref="A4:X179" xr:uid="{2F16CD3E-A8B6-4EAD-9081-89171081EB02}"/>
  <tableColumns count="24">
    <tableColumn id="2" xr3:uid="{4A71F5C0-B05D-4819-836E-C9D73E0F2ED6}" name="_ex" dataDxfId="44"/>
    <tableColumn id="17" xr3:uid="{7A660AA3-FDF2-4317-B844-2C8CFFE96BA7}" name="_opcode" dataDxfId="43"/>
    <tableColumn id="18" xr3:uid="{9CEFAC63-F245-4106-8C3B-397E0B5EF24A}" name="id" dataDxfId="42"/>
    <tableColumn id="19" xr3:uid="{4BB447A1-8CBD-44A7-817A-F91D3AEE98A0}" name="title" dataDxfId="41"/>
    <tableColumn id="20" xr3:uid="{E64C3112-48B1-4DDF-A8C7-29B5A568715C}" name="url" dataDxfId="40"/>
    <tableColumn id="21" xr3:uid="{5FBC2D77-4F31-4D84-9BF9-58D2582DF704}" name="keywords" dataDxfId="39"/>
    <tableColumn id="22" xr3:uid="{FA48E98E-654B-4896-AC05-80398623C769}" name="comment" dataDxfId="38"/>
    <tableColumn id="3" xr3:uid="{A0291FDF-AE8E-4818-A904-B93FB6B872C5}" name="priority" dataDxfId="37"/>
    <tableColumn id="23" xr3:uid="{BDA974C3-DC59-4059-9301-DF4A0C55C179}" name="変更種別" dataDxfId="36"/>
    <tableColumn id="24" xr3:uid="{9591FA5F-3A34-4749-941C-CF7A108756C8}" name="title / 変更" dataDxfId="35"/>
    <tableColumn id="26" xr3:uid="{093DD464-E480-4518-ABD9-1F6606C70275}" name="url / 変更" dataDxfId="34"/>
    <tableColumn id="28" xr3:uid="{9BDC783D-D044-4229-8312-A2C9403F4634}" name="keywords / 変更" dataDxfId="33"/>
    <tableColumn id="4" xr3:uid="{3D735430-F674-4F43-A59A-7C35F3509A2D}" name="comment / 変更" dataDxfId="32"/>
    <tableColumn id="42" xr3:uid="{A881FD52-0733-4E60-B2BC-6E61373A6935}" name="priority / 変更後" dataDxfId="31"/>
    <tableColumn id="38" xr3:uid="{E4A11A08-2971-4DAC-B4BB-9BBE5F296B6E}" name="変更理由" dataDxfId="30"/>
    <tableColumn id="29" xr3:uid="{EB4808F3-590C-4A01-BA0F-E75F5E38D278}" name="_ex2" dataDxfId="29">
      <calculatedColumnFormula>IF(_xlfn.CONCAT(テーブル14[[#This Row],[変更種別]:[keywords / 変更]])&lt;&gt;"","","*")</calculatedColumnFormula>
    </tableColumn>
    <tableColumn id="30" xr3:uid="{A0E1DC97-F90E-4CEF-9B55-F0760E78AF43}" name="_opcode2" dataDxfId="28">
      <calculatedColumnFormula>IF(テーブル14[[#This Row],[変更種別]]="削除","2",IF(テーブル14[[#This Row],[_ex2]]="","1",""))</calculatedColumnFormula>
    </tableColumn>
    <tableColumn id="31" xr3:uid="{49F03A31-CE83-47F5-8E78-5C7E0AA55FC5}" name="id2" dataDxfId="27">
      <calculatedColumnFormula>IF(テーブル14[[#This Row],[変更種別]]="新規","",テーブル14[[#This Row],[id]])</calculatedColumnFormula>
    </tableColumn>
    <tableColumn id="32" xr3:uid="{026DCCF8-386D-4D30-A995-B585CA3A5F51}" name="title2" dataDxfId="26">
      <calculatedColumnFormula>IF(テーブル14[[#This Row],[変更種別]]="削除",
       "",
       IF(テーブル14[[#This Row],[title / 変更]]="",テーブル14[[#This Row],[title]],テーブル14[[#This Row],[title / 変更]]))</calculatedColumnFormula>
    </tableColumn>
    <tableColumn id="33" xr3:uid="{BB1F8752-2739-49A1-9153-3B84B121FB0B}" name="url2" dataDxfId="25">
      <calculatedColumnFormula>IF(テーブル14[[#This Row],[変更種別]]="削除",
       "",
       IF(テーブル14[[#This Row],[url / 変更]]="",テーブル14[[#This Row],[url]],テーブル14[[#This Row],[url / 変更]]))</calculatedColumnFormula>
    </tableColumn>
    <tableColumn id="34" xr3:uid="{C7DB10D5-7C3C-4666-9A95-03972A566F15}" name="keywords2" dataDxfId="24">
      <calculatedColumnFormula>IF(テーブル14[[#This Row],[変更種別]]="削除",
       "",
       IF(テーブル14[[#This Row],[keywords / 変更]]="",テーブル14[[#This Row],[keywords]],テーブル14[[#This Row],[keywords / 変更]]))</calculatedColumnFormula>
    </tableColumn>
    <tableColumn id="35" xr3:uid="{E37DC967-90D1-4642-98BE-6D95DDC83D95}" name="comment2" dataDxfId="23">
      <calculatedColumnFormula>IF(テーブル14[[#This Row],[変更種別]]="削除",
       "",
       IF(テーブル14[[#This Row],[comment]]="","",テーブル14[[#This Row],[comment]]))</calculatedColumnFormula>
    </tableColumn>
    <tableColumn id="36" xr3:uid="{30B199C6-CD40-43AF-BC80-A3813294CCCA}" name="priority2" dataDxfId="22">
      <calculatedColumnFormula>IF(テーブル14[[#This Row],[変更種別]]="削除",
       "",
       IF(テーブル14[[#This Row],[priority / 変更後]]="",テーブル14[[#This Row],[priority]],テーブル14[[#This Row],[priority / 変更後]]))</calculatedColumnFormula>
    </tableColumn>
    <tableColumn id="40" xr3:uid="{64258BBE-95F0-4546-A17C-62DF51A41DEA}" name="変更サマリ" dataDxfId="21">
      <calculatedColumnFormula>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67C98E-D7E0-4022-A128-4F0E8457AB37}" name="テーブル13" displayName="テーブル13" ref="A3:D388" totalsRowShown="0" headerRowDxfId="20" dataDxfId="19">
  <autoFilter ref="A3:D388" xr:uid="{8E6143B4-3EB1-43FF-B891-D3BE585DADC0}"/>
  <tableColumns count="4">
    <tableColumn id="1" xr3:uid="{70ABBA41-D391-49C6-AAAA-598926178F7A}" name="keyword" dataDxfId="18"/>
    <tableColumn id="2" xr3:uid="{A604E8A5-C8B6-4165-8DCC-7DF3B36DCF3D}" name="title1" dataDxfId="17"/>
    <tableColumn id="3" xr3:uid="{D5CA25FA-AB51-4E30-99EC-27A6CEDA0BE5}" name="title2" dataDxfId="16"/>
    <tableColumn id="4" xr3:uid="{647F5992-FCAF-4F8E-BF1B-0D55E531A4EF}" name="title3" dataDxfId="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491F48-B712-4562-83B6-9B3016501733}" name="テーブル3" displayName="テーブル3" ref="A2:F146" totalsRowShown="0" headerRowDxfId="14">
  <autoFilter ref="A2:F146" xr:uid="{F0491F48-B712-4562-83B6-9B3016501733}"/>
  <tableColumns count="6">
    <tableColumn id="1" xr3:uid="{3F92BD17-FFA5-4FA8-977A-8418BC2D5E93}" name="id" dataDxfId="13"/>
    <tableColumn id="2" xr3:uid="{425C29BE-F8D8-4AEC-A8AD-EFEAAD9672F6}" name="title" dataDxfId="12"/>
    <tableColumn id="3" xr3:uid="{2599FB48-887D-44EB-86B1-5D469B96C0B5}" name="url" dataDxfId="11"/>
    <tableColumn id="4" xr3:uid="{3925A197-4854-4282-A31C-F5D63E4FCA67}" name="keywords" dataDxfId="10"/>
    <tableColumn id="5" xr3:uid="{30DE542C-EFA0-4F7B-AD81-CC0945460BAF}" name="comment" dataDxfId="9"/>
    <tableColumn id="6" xr3:uid="{CA662C7D-5E7D-4332-BAC8-38C73BA92464}" name="priority" dataDxfId="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ADEA3-ABC4-45BF-BC6A-4F352096C4FD}" name="テーブル5" displayName="テーブル5" ref="A2:F146" totalsRowShown="0" headerRowDxfId="7" dataDxfId="6">
  <autoFilter ref="A2:F146" xr:uid="{A32ADEA3-ABC4-45BF-BC6A-4F352096C4FD}"/>
  <tableColumns count="6">
    <tableColumn id="1" xr3:uid="{F0A1FE77-D023-4AA8-B792-FC07DCA37372}" name="id" dataDxfId="5"/>
    <tableColumn id="2" xr3:uid="{B0934E75-A51A-4B54-95A7-57C51C6479C1}" name="title" dataDxfId="4"/>
    <tableColumn id="3" xr3:uid="{84A19859-E5DF-448E-BD51-E7B93EB54734}" name="url" dataDxfId="3"/>
    <tableColumn id="4" xr3:uid="{0EBE6F64-92BA-448E-A788-F94FCA29AB96}" name="keywords" dataDxfId="2"/>
    <tableColumn id="5" xr3:uid="{D6AB1214-0F50-4317-A28F-57139AEB1889}" name="comment" dataDxfId="1"/>
    <tableColumn id="6" xr3:uid="{F0C0E80F-263B-46B6-9852-3A6358588329}" name="priority"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Meiryo UI">
      <a:majorFont>
        <a:latin typeface="Meiryo UI"/>
        <a:ea typeface="Meiryo UI"/>
        <a:cs typeface=""/>
      </a:majorFont>
      <a:minorFont>
        <a:latin typeface="Meiryo UI"/>
        <a:ea typeface="Meiryo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1DA5C-598D-4938-B231-C85B281894E9}">
  <sheetPr codeName="Sheet1"/>
  <dimension ref="A1:AR165"/>
  <sheetViews>
    <sheetView workbookViewId="0">
      <selection activeCell="AJ132" sqref="AJ132"/>
    </sheetView>
  </sheetViews>
  <sheetFormatPr defaultColWidth="4.109375" defaultRowHeight="15.75" x14ac:dyDescent="0.25"/>
  <sheetData>
    <row r="1" spans="1:44"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row>
    <row r="2" spans="1:44" x14ac:dyDescent="0.25">
      <c r="A2" s="5"/>
      <c r="B2" s="5" t="s">
        <v>0</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row>
    <row r="3" spans="1:44"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row>
    <row r="4" spans="1:44" x14ac:dyDescent="0.25">
      <c r="A4" s="5"/>
      <c r="B4" s="5" t="s">
        <v>687</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row>
    <row r="5" spans="1:44"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row>
    <row r="6" spans="1:44" x14ac:dyDescent="0.25">
      <c r="A6" s="5"/>
      <c r="B6" s="5" t="s">
        <v>688</v>
      </c>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row>
    <row r="7" spans="1:44"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row>
    <row r="8" spans="1:44" x14ac:dyDescent="0.25">
      <c r="A8" s="5"/>
      <c r="B8" s="5" t="s">
        <v>689</v>
      </c>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row>
    <row r="9" spans="1:44"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row>
    <row r="10" spans="1:44"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row>
    <row r="11" spans="1:44"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row>
    <row r="12" spans="1:44"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row>
    <row r="13" spans="1:44"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row>
    <row r="14" spans="1:44"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row>
    <row r="15" spans="1:44"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row>
    <row r="16" spans="1:44"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row>
    <row r="17" spans="1:44"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row>
    <row r="18" spans="1:44"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row>
    <row r="19" spans="1:44" s="3" customFormat="1"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row>
    <row r="20" spans="1:44" s="3" customFormat="1"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row>
    <row r="21" spans="1:44" s="3" customFormat="1"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row>
    <row r="22" spans="1:44"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row>
    <row r="23" spans="1:44"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row>
    <row r="24" spans="1:44"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row>
    <row r="25" spans="1:44"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row>
    <row r="26" spans="1:44"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row>
    <row r="27" spans="1:44"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row>
    <row r="28" spans="1:44"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row>
    <row r="29" spans="1:44"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row>
    <row r="30" spans="1:44"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row>
    <row r="31" spans="1:44" x14ac:dyDescent="0.25">
      <c r="A31" s="5"/>
      <c r="B31" s="5" t="s">
        <v>690</v>
      </c>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row>
    <row r="32" spans="1:44" x14ac:dyDescent="0.25">
      <c r="A32" s="5"/>
      <c r="B32" s="5"/>
      <c r="C32" s="5" t="s">
        <v>691</v>
      </c>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row>
    <row r="33" spans="1:44" x14ac:dyDescent="0.25">
      <c r="A33" s="5"/>
      <c r="B33" s="5"/>
      <c r="C33" s="5" t="s">
        <v>692</v>
      </c>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row>
    <row r="34" spans="1:44"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row>
    <row r="35" spans="1:44" x14ac:dyDescent="0.25">
      <c r="A35" s="5"/>
      <c r="B35" s="5" t="s">
        <v>693</v>
      </c>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row>
    <row r="36" spans="1:44" x14ac:dyDescent="0.25">
      <c r="A36" s="5"/>
      <c r="B36" s="5"/>
      <c r="C36" s="5" t="s">
        <v>694</v>
      </c>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row>
    <row r="37" spans="1:44" x14ac:dyDescent="0.25">
      <c r="A37" s="5"/>
      <c r="B37" s="5"/>
      <c r="C37" s="5"/>
      <c r="D37" s="5" t="s">
        <v>695</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row>
    <row r="38" spans="1:44" x14ac:dyDescent="0.25">
      <c r="A38" s="5"/>
      <c r="B38" s="5"/>
      <c r="C38" s="5" t="s">
        <v>696</v>
      </c>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row>
    <row r="39" spans="1:44" x14ac:dyDescent="0.25">
      <c r="A39" s="5"/>
      <c r="B39" s="5"/>
      <c r="C39" s="5"/>
      <c r="D39" s="5" t="s">
        <v>697</v>
      </c>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row>
    <row r="40" spans="1:44"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row>
    <row r="41" spans="1:44" x14ac:dyDescent="0.25">
      <c r="A41" s="5"/>
      <c r="B41" s="5" t="s">
        <v>756</v>
      </c>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row>
    <row r="42" spans="1:44"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row>
    <row r="43" spans="1:44" x14ac:dyDescent="0.25">
      <c r="A43" s="5"/>
      <c r="B43" s="5" t="s">
        <v>698</v>
      </c>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row>
    <row r="44" spans="1:44"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row>
    <row r="45" spans="1:44" x14ac:dyDescent="0.25">
      <c r="A45" s="5"/>
      <c r="B45" s="5" t="s">
        <v>755</v>
      </c>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row>
    <row r="46" spans="1:44" x14ac:dyDescent="0.25">
      <c r="A46" s="5"/>
      <c r="B46" s="5"/>
      <c r="C46" s="5" t="s">
        <v>692</v>
      </c>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row>
    <row r="47" spans="1:44"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row>
    <row r="48" spans="1:44" x14ac:dyDescent="0.25">
      <c r="A48" s="5"/>
      <c r="B48" s="5" t="s">
        <v>757</v>
      </c>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row>
    <row r="49" spans="1:44"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row>
    <row r="50" spans="1:44" x14ac:dyDescent="0.25">
      <c r="A50" s="5"/>
      <c r="B50" s="5" t="s">
        <v>769</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row>
    <row r="51" spans="1:44"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row>
    <row r="52" spans="1:44" x14ac:dyDescent="0.25">
      <c r="A52" s="5"/>
      <c r="B52" s="5" t="s">
        <v>1101</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row>
    <row r="53" spans="1:44"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row>
    <row r="54" spans="1:44"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row>
    <row r="55" spans="1:44"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row>
    <row r="56" spans="1:44"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row>
    <row r="57" spans="1:44"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row>
    <row r="58" spans="1:44"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row>
    <row r="59" spans="1:44"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row>
    <row r="60" spans="1:44"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row>
    <row r="61" spans="1:44"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row>
    <row r="62" spans="1:44"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row>
    <row r="63" spans="1:44"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row>
    <row r="64" spans="1:44"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row>
    <row r="65" spans="1:44"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row>
    <row r="66" spans="1:44" s="3" customFormat="1"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row>
    <row r="67" spans="1:44" s="3" customFormat="1"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row>
    <row r="68" spans="1:44" s="3" customFormat="1"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row>
    <row r="69" spans="1:44" s="3" customFormat="1"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row>
    <row r="70" spans="1:44" s="3" customFormat="1"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row>
    <row r="71" spans="1:44"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row>
    <row r="72" spans="1:44"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row>
    <row r="73" spans="1:44"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row>
    <row r="74" spans="1:44"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row>
    <row r="75" spans="1:44"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row>
    <row r="76" spans="1:44"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row>
    <row r="77" spans="1:44"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row>
    <row r="78" spans="1:44"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row>
    <row r="79" spans="1:44" x14ac:dyDescent="0.25">
      <c r="A79" s="5"/>
      <c r="B79" s="5" t="s">
        <v>1100</v>
      </c>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row>
    <row r="80" spans="1:44" x14ac:dyDescent="0.25">
      <c r="A80" s="5"/>
      <c r="B80" s="5" t="s">
        <v>1102</v>
      </c>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row>
    <row r="81" spans="1:44"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row>
    <row r="82" spans="1:44"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row>
    <row r="83" spans="1:44"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row>
    <row r="84" spans="1:44"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row>
    <row r="85" spans="1:44"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row>
    <row r="86" spans="1:44"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row>
    <row r="87" spans="1:44"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row>
    <row r="88" spans="1:44"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row>
    <row r="89" spans="1:44"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row>
    <row r="90" spans="1:44"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row>
    <row r="91" spans="1:44"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row>
    <row r="92" spans="1:44" s="3" customFormat="1"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row>
    <row r="93" spans="1:44" s="3" customFormat="1"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row>
    <row r="94" spans="1:44" s="3" customFormat="1"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row>
    <row r="95" spans="1:44" s="3" customFormat="1"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row>
    <row r="96" spans="1:44"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row>
    <row r="97" spans="1:44"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row>
    <row r="98" spans="1:44"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row>
    <row r="99" spans="1:44"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row>
    <row r="100" spans="1:44"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row>
    <row r="101" spans="1:44"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row>
    <row r="102" spans="1:44"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row>
    <row r="103" spans="1:44"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row>
    <row r="104" spans="1:44"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row>
    <row r="105" spans="1:44"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row>
    <row r="106" spans="1:44"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row>
    <row r="107" spans="1:44" x14ac:dyDescent="0.25">
      <c r="A107" s="5"/>
      <c r="B107" s="5" t="s">
        <v>1103</v>
      </c>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row>
    <row r="108" spans="1:44"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row>
    <row r="109" spans="1:44"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row>
    <row r="110" spans="1:44"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row>
    <row r="111" spans="1:44"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row>
    <row r="112" spans="1:44"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row>
    <row r="113" spans="1:44"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row>
    <row r="114" spans="1:44"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row>
    <row r="115" spans="1:44" s="3" customFormat="1"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row>
    <row r="116" spans="1:44" s="3" customFormat="1"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row>
    <row r="117" spans="1:44" s="3" customFormat="1"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row>
    <row r="118" spans="1:44" s="3" customFormat="1"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row>
    <row r="119" spans="1:44"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row>
    <row r="120" spans="1:44"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row>
    <row r="121" spans="1:4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row>
    <row r="122" spans="1:44"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row>
    <row r="123" spans="1:44"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row>
    <row r="124" spans="1:44"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row>
    <row r="125" spans="1:44"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row>
    <row r="126" spans="1:44"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row>
    <row r="127" spans="1:44"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row>
    <row r="128" spans="1:44"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row>
    <row r="129" spans="1:44"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row>
    <row r="130" spans="1:44"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row>
    <row r="131" spans="1:44"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row>
    <row r="132" spans="1:44"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row>
    <row r="133" spans="1:44"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row>
    <row r="134" spans="1:44" x14ac:dyDescent="0.25">
      <c r="A134" s="5"/>
      <c r="B134" s="5" t="s">
        <v>1104</v>
      </c>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row>
    <row r="135" spans="1:44" x14ac:dyDescent="0.25">
      <c r="A135" s="5"/>
      <c r="B135" s="6" t="s">
        <v>1105</v>
      </c>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row>
    <row r="136" spans="1:44"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7"/>
    </row>
    <row r="137" spans="1:44"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row>
    <row r="138" spans="1:44"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row>
    <row r="139" spans="1:44"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row>
    <row r="140" spans="1:44"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row>
    <row r="141" spans="1:44"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row>
    <row r="142" spans="1:44"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row>
    <row r="143" spans="1:44"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row>
    <row r="144" spans="1:44"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row>
    <row r="145" spans="1:44"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row>
    <row r="146" spans="1:44"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row>
    <row r="147" spans="1:44" s="3" customFormat="1"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row>
    <row r="148" spans="1:44" s="3" customFormat="1"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row>
    <row r="149" spans="1:44" s="3" customFormat="1"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row>
    <row r="150" spans="1:44"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row>
    <row r="151" spans="1:44"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row>
    <row r="152" spans="1:44"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row>
    <row r="153" spans="1:44"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row>
    <row r="154" spans="1:44"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row>
    <row r="155" spans="1:44"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row>
    <row r="156" spans="1:44"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row>
    <row r="157" spans="1:44"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row>
    <row r="158" spans="1:44"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row>
    <row r="159" spans="1:44"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row>
    <row r="160" spans="1:44"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row>
    <row r="161" spans="1:44"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row>
    <row r="162" spans="1:44" x14ac:dyDescent="0.25">
      <c r="A162" s="5"/>
      <c r="B162" s="5" t="s">
        <v>1106</v>
      </c>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row>
    <row r="163" spans="1:44" x14ac:dyDescent="0.25">
      <c r="A163" s="5"/>
      <c r="B163" s="5"/>
      <c r="C163" s="5" t="s">
        <v>694</v>
      </c>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row>
    <row r="164" spans="1:44" x14ac:dyDescent="0.25">
      <c r="A164" s="5"/>
      <c r="B164" s="5"/>
      <c r="C164" s="5"/>
      <c r="D164" s="5" t="s">
        <v>1107</v>
      </c>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row>
    <row r="165" spans="1:44" x14ac:dyDescent="0.25">
      <c r="A165" s="5"/>
      <c r="B165" s="5"/>
      <c r="C165" s="5" t="s">
        <v>1108</v>
      </c>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7C45-0528-4FC8-A5C3-B4F14D720A85}">
  <sheetPr codeName="Sheet2"/>
  <dimension ref="A1:T27"/>
  <sheetViews>
    <sheetView workbookViewId="0"/>
  </sheetViews>
  <sheetFormatPr defaultColWidth="4" defaultRowHeight="15.75" x14ac:dyDescent="0.25"/>
  <sheetData>
    <row r="1" spans="1:4" x14ac:dyDescent="0.25">
      <c r="A1" s="5" t="s">
        <v>763</v>
      </c>
      <c r="B1" s="5"/>
      <c r="C1" s="5"/>
    </row>
    <row r="2" spans="1:4" x14ac:dyDescent="0.25">
      <c r="A2" s="5"/>
      <c r="B2" s="5"/>
      <c r="C2" s="5"/>
    </row>
    <row r="3" spans="1:4" x14ac:dyDescent="0.25">
      <c r="A3" s="5"/>
      <c r="B3" s="5" t="s">
        <v>765</v>
      </c>
      <c r="C3" s="5"/>
    </row>
    <row r="4" spans="1:4" x14ac:dyDescent="0.25">
      <c r="A4" s="5"/>
      <c r="B4" s="5"/>
      <c r="C4" s="5" t="s">
        <v>766</v>
      </c>
    </row>
    <row r="5" spans="1:4" x14ac:dyDescent="0.25">
      <c r="A5" s="5"/>
      <c r="B5" s="5"/>
      <c r="C5" s="5"/>
    </row>
    <row r="6" spans="1:4" x14ac:dyDescent="0.25">
      <c r="A6" s="5"/>
      <c r="B6" s="5" t="s">
        <v>764</v>
      </c>
      <c r="C6" s="5"/>
    </row>
    <row r="7" spans="1:4" x14ac:dyDescent="0.25">
      <c r="A7" s="5"/>
      <c r="B7" s="5"/>
      <c r="C7" s="5" t="s">
        <v>767</v>
      </c>
    </row>
    <row r="8" spans="1:4" x14ac:dyDescent="0.25">
      <c r="A8" s="5"/>
      <c r="B8" s="5"/>
      <c r="C8" s="5"/>
    </row>
    <row r="10" spans="1:4" x14ac:dyDescent="0.25">
      <c r="B10" t="s">
        <v>1190</v>
      </c>
    </row>
    <row r="12" spans="1:4" s="3" customFormat="1" x14ac:dyDescent="0.25">
      <c r="B12" s="3" t="s">
        <v>1686</v>
      </c>
    </row>
    <row r="13" spans="1:4" x14ac:dyDescent="0.25">
      <c r="C13" t="s">
        <v>1687</v>
      </c>
    </row>
    <row r="14" spans="1:4" s="3" customFormat="1" x14ac:dyDescent="0.25">
      <c r="D14" s="3" t="s">
        <v>1688</v>
      </c>
    </row>
    <row r="15" spans="1:4" s="3" customFormat="1" x14ac:dyDescent="0.25">
      <c r="D15" s="3" t="s">
        <v>1689</v>
      </c>
    </row>
    <row r="17" spans="2:20" x14ac:dyDescent="0.25">
      <c r="B17" s="3" t="s">
        <v>1690</v>
      </c>
    </row>
    <row r="18" spans="2:20" x14ac:dyDescent="0.25">
      <c r="C18" t="s">
        <v>1691</v>
      </c>
    </row>
    <row r="19" spans="2:20" x14ac:dyDescent="0.25">
      <c r="D19" t="s">
        <v>1692</v>
      </c>
    </row>
    <row r="20" spans="2:20" x14ac:dyDescent="0.25">
      <c r="D20" t="s">
        <v>1693</v>
      </c>
    </row>
    <row r="22" spans="2:20" x14ac:dyDescent="0.25">
      <c r="B22" t="s">
        <v>1694</v>
      </c>
    </row>
    <row r="23" spans="2:20" x14ac:dyDescent="0.25">
      <c r="C23" s="34" t="s">
        <v>1695</v>
      </c>
      <c r="D23" s="35"/>
      <c r="E23" s="35"/>
      <c r="F23" s="35"/>
      <c r="G23" s="35"/>
      <c r="H23" s="35"/>
      <c r="I23" s="35"/>
      <c r="J23" s="35"/>
      <c r="K23" s="36"/>
      <c r="L23" s="34" t="s">
        <v>1696</v>
      </c>
      <c r="M23" s="35"/>
      <c r="N23" s="35"/>
      <c r="O23" s="35"/>
      <c r="P23" s="35"/>
      <c r="Q23" s="35"/>
      <c r="R23" s="35"/>
      <c r="S23" s="35"/>
      <c r="T23" s="36"/>
    </row>
    <row r="24" spans="2:20" x14ac:dyDescent="0.25">
      <c r="C24" s="31" t="s">
        <v>806</v>
      </c>
      <c r="D24" s="32"/>
      <c r="E24" s="32"/>
      <c r="F24" s="32"/>
      <c r="G24" s="32"/>
      <c r="H24" s="32"/>
      <c r="I24" s="32"/>
      <c r="J24" s="32"/>
      <c r="K24" s="33"/>
      <c r="L24" s="31" t="s">
        <v>752</v>
      </c>
      <c r="M24" s="32"/>
      <c r="N24" s="32"/>
      <c r="O24" s="32"/>
      <c r="P24" s="32"/>
      <c r="Q24" s="32"/>
      <c r="R24" s="32"/>
      <c r="S24" s="32"/>
      <c r="T24" s="33"/>
    </row>
    <row r="25" spans="2:20" x14ac:dyDescent="0.25">
      <c r="C25" s="31" t="s">
        <v>809</v>
      </c>
      <c r="D25" s="32"/>
      <c r="E25" s="32"/>
      <c r="F25" s="32"/>
      <c r="G25" s="32"/>
      <c r="H25" s="32"/>
      <c r="I25" s="32"/>
      <c r="J25" s="32"/>
      <c r="K25" s="33"/>
      <c r="L25" s="31" t="s">
        <v>1159</v>
      </c>
      <c r="M25" s="32"/>
      <c r="N25" s="32"/>
      <c r="O25" s="32"/>
      <c r="P25" s="32"/>
      <c r="Q25" s="32"/>
      <c r="R25" s="32"/>
      <c r="S25" s="32"/>
      <c r="T25" s="33"/>
    </row>
    <row r="26" spans="2:20" x14ac:dyDescent="0.25">
      <c r="C26" s="31" t="s">
        <v>451</v>
      </c>
      <c r="D26" s="32"/>
      <c r="E26" s="32"/>
      <c r="F26" s="32"/>
      <c r="G26" s="32"/>
      <c r="H26" s="32"/>
      <c r="I26" s="32"/>
      <c r="J26" s="32"/>
      <c r="K26" s="33"/>
      <c r="L26" s="31" t="s">
        <v>1021</v>
      </c>
      <c r="M26" s="32"/>
      <c r="N26" s="32"/>
      <c r="O26" s="32"/>
      <c r="P26" s="32"/>
      <c r="Q26" s="32"/>
      <c r="R26" s="32"/>
      <c r="S26" s="32"/>
      <c r="T26" s="33"/>
    </row>
    <row r="27" spans="2:20" x14ac:dyDescent="0.25">
      <c r="C27" s="31" t="s">
        <v>814</v>
      </c>
      <c r="D27" s="32"/>
      <c r="E27" s="32"/>
      <c r="F27" s="32"/>
      <c r="G27" s="32"/>
      <c r="H27" s="32"/>
      <c r="I27" s="32"/>
      <c r="J27" s="32"/>
      <c r="K27" s="33"/>
      <c r="L27" s="31" t="s">
        <v>1162</v>
      </c>
      <c r="M27" s="32"/>
      <c r="N27" s="32"/>
      <c r="O27" s="32"/>
      <c r="P27" s="32"/>
      <c r="Q27" s="32"/>
      <c r="R27" s="32"/>
      <c r="S27" s="32"/>
      <c r="T27" s="33"/>
    </row>
  </sheetData>
  <mergeCells count="10">
    <mergeCell ref="C27:K27"/>
    <mergeCell ref="C26:K26"/>
    <mergeCell ref="C25:K25"/>
    <mergeCell ref="C24:K24"/>
    <mergeCell ref="C23:K23"/>
    <mergeCell ref="L27:T27"/>
    <mergeCell ref="L26:T26"/>
    <mergeCell ref="L25:T25"/>
    <mergeCell ref="L24:T24"/>
    <mergeCell ref="L23:T23"/>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73411-BC1D-49C9-BA84-D650F1C3CA25}">
  <sheetPr codeName="Sheet3"/>
  <dimension ref="A1:F560"/>
  <sheetViews>
    <sheetView workbookViewId="0"/>
  </sheetViews>
  <sheetFormatPr defaultRowHeight="15.75" x14ac:dyDescent="0.25"/>
  <cols>
    <col min="1" max="1" width="12.44140625" customWidth="1"/>
    <col min="3" max="3" width="22" customWidth="1"/>
  </cols>
  <sheetData>
    <row r="1" spans="1:6" x14ac:dyDescent="0.25">
      <c r="A1" s="5" t="s">
        <v>1</v>
      </c>
      <c r="B1" s="5" t="s">
        <v>2</v>
      </c>
      <c r="C1" s="5" t="s">
        <v>3</v>
      </c>
      <c r="D1" s="5" t="s">
        <v>4</v>
      </c>
      <c r="E1" s="5" t="s">
        <v>5</v>
      </c>
      <c r="F1" s="5" t="s">
        <v>6</v>
      </c>
    </row>
    <row r="2" spans="1:6" x14ac:dyDescent="0.25">
      <c r="A2" s="5" t="s">
        <v>1182</v>
      </c>
      <c r="B2" s="5">
        <v>0</v>
      </c>
      <c r="C2" s="5" t="s">
        <v>1115</v>
      </c>
      <c r="D2" s="5" t="s">
        <v>1116</v>
      </c>
      <c r="E2" s="5"/>
      <c r="F2" s="5"/>
    </row>
    <row r="3" spans="1:6" x14ac:dyDescent="0.25">
      <c r="A3" s="5" t="s">
        <v>1117</v>
      </c>
      <c r="B3" s="5">
        <v>0</v>
      </c>
      <c r="C3" s="5" t="s">
        <v>1115</v>
      </c>
      <c r="D3" s="5" t="s">
        <v>1116</v>
      </c>
      <c r="E3" s="5"/>
      <c r="F3" s="5"/>
    </row>
    <row r="4" spans="1:6" x14ac:dyDescent="0.25">
      <c r="A4" s="5" t="s">
        <v>1117</v>
      </c>
      <c r="B4" s="5">
        <v>0</v>
      </c>
      <c r="C4" s="5" t="s">
        <v>380</v>
      </c>
      <c r="D4" s="5" t="s">
        <v>1118</v>
      </c>
      <c r="E4" s="5"/>
      <c r="F4" s="5"/>
    </row>
    <row r="5" spans="1:6" x14ac:dyDescent="0.25">
      <c r="A5" s="5" t="s">
        <v>1119</v>
      </c>
      <c r="B5" s="5">
        <v>0</v>
      </c>
      <c r="C5" s="5" t="s">
        <v>1115</v>
      </c>
      <c r="D5" s="5" t="s">
        <v>1116</v>
      </c>
      <c r="E5" s="5"/>
      <c r="F5" s="5"/>
    </row>
    <row r="6" spans="1:6" x14ac:dyDescent="0.25">
      <c r="A6" s="5" t="s">
        <v>1119</v>
      </c>
      <c r="B6" s="5">
        <v>0</v>
      </c>
      <c r="C6" s="5" t="s">
        <v>380</v>
      </c>
      <c r="D6" s="5" t="s">
        <v>1118</v>
      </c>
      <c r="E6" s="5"/>
      <c r="F6" s="5"/>
    </row>
    <row r="7" spans="1:6" x14ac:dyDescent="0.25">
      <c r="A7" s="5" t="s">
        <v>234</v>
      </c>
      <c r="B7" s="5">
        <v>0</v>
      </c>
      <c r="C7" s="5" t="s">
        <v>380</v>
      </c>
      <c r="D7" s="5" t="s">
        <v>1118</v>
      </c>
      <c r="E7" s="5"/>
      <c r="F7" s="5"/>
    </row>
    <row r="8" spans="1:6" x14ac:dyDescent="0.25">
      <c r="A8" s="5" t="s">
        <v>1180</v>
      </c>
      <c r="B8" s="5">
        <v>0</v>
      </c>
      <c r="C8" s="5" t="s">
        <v>1115</v>
      </c>
      <c r="D8" s="5" t="s">
        <v>1116</v>
      </c>
      <c r="E8" s="5"/>
      <c r="F8" s="5"/>
    </row>
    <row r="9" spans="1:6" x14ac:dyDescent="0.25">
      <c r="A9" s="5" t="s">
        <v>280</v>
      </c>
      <c r="B9" s="5">
        <v>0</v>
      </c>
      <c r="C9" s="5" t="s">
        <v>374</v>
      </c>
      <c r="D9" s="5" t="s">
        <v>1120</v>
      </c>
      <c r="E9" s="5"/>
      <c r="F9" s="5"/>
    </row>
    <row r="10" spans="1:6" x14ac:dyDescent="0.25">
      <c r="A10" s="5" t="s">
        <v>280</v>
      </c>
      <c r="B10" s="5">
        <v>0</v>
      </c>
      <c r="C10" s="5" t="s">
        <v>380</v>
      </c>
      <c r="D10" s="5" t="s">
        <v>1118</v>
      </c>
      <c r="E10" s="5"/>
      <c r="F10" s="5"/>
    </row>
    <row r="11" spans="1:6" x14ac:dyDescent="0.25">
      <c r="A11" s="5" t="s">
        <v>324</v>
      </c>
      <c r="B11" s="5">
        <v>0</v>
      </c>
      <c r="C11" s="5" t="s">
        <v>1115</v>
      </c>
      <c r="D11" s="5" t="s">
        <v>1116</v>
      </c>
      <c r="E11" s="5"/>
      <c r="F11" s="5"/>
    </row>
    <row r="12" spans="1:6" x14ac:dyDescent="0.25">
      <c r="A12" s="5" t="s">
        <v>324</v>
      </c>
      <c r="B12" s="5">
        <v>0</v>
      </c>
      <c r="C12" s="5" t="s">
        <v>380</v>
      </c>
      <c r="D12" s="5" t="s">
        <v>1118</v>
      </c>
      <c r="E12" s="5"/>
      <c r="F12" s="5"/>
    </row>
    <row r="13" spans="1:6" x14ac:dyDescent="0.25">
      <c r="A13" s="5" t="s">
        <v>332</v>
      </c>
      <c r="B13" s="5">
        <v>0</v>
      </c>
      <c r="C13" s="5" t="s">
        <v>380</v>
      </c>
      <c r="D13" s="5" t="s">
        <v>1118</v>
      </c>
      <c r="E13" s="5"/>
      <c r="F13" s="5"/>
    </row>
    <row r="14" spans="1:6" x14ac:dyDescent="0.25">
      <c r="A14" s="5" t="s">
        <v>332</v>
      </c>
      <c r="B14" s="5">
        <v>0</v>
      </c>
      <c r="C14" s="5" t="s">
        <v>1115</v>
      </c>
      <c r="D14" s="5" t="s">
        <v>1116</v>
      </c>
      <c r="E14" s="5"/>
      <c r="F14" s="5"/>
    </row>
    <row r="15" spans="1:6" x14ac:dyDescent="0.25">
      <c r="A15" s="5" t="s">
        <v>373</v>
      </c>
      <c r="B15" s="5">
        <v>0</v>
      </c>
      <c r="C15" s="5" t="s">
        <v>374</v>
      </c>
      <c r="D15" s="5" t="s">
        <v>1120</v>
      </c>
      <c r="E15" s="5"/>
      <c r="F15" s="5"/>
    </row>
    <row r="16" spans="1:6" x14ac:dyDescent="0.25">
      <c r="A16" s="5" t="s">
        <v>373</v>
      </c>
      <c r="B16" s="5">
        <v>0</v>
      </c>
      <c r="C16" s="5" t="s">
        <v>1121</v>
      </c>
      <c r="D16" s="5" t="s">
        <v>1093</v>
      </c>
      <c r="E16" s="5"/>
      <c r="F16" s="5"/>
    </row>
    <row r="17" spans="1:6" x14ac:dyDescent="0.25">
      <c r="A17" s="5" t="s">
        <v>1122</v>
      </c>
      <c r="B17" s="5">
        <v>0</v>
      </c>
      <c r="C17" s="5" t="s">
        <v>1121</v>
      </c>
      <c r="D17" s="5" t="s">
        <v>1093</v>
      </c>
      <c r="E17" s="5"/>
      <c r="F17" s="5"/>
    </row>
    <row r="18" spans="1:6" x14ac:dyDescent="0.25">
      <c r="A18" s="5" t="s">
        <v>1122</v>
      </c>
      <c r="B18" s="5">
        <v>0</v>
      </c>
      <c r="C18" s="5" t="s">
        <v>374</v>
      </c>
      <c r="D18" s="5" t="s">
        <v>1120</v>
      </c>
      <c r="E18" s="5"/>
      <c r="F18" s="5"/>
    </row>
    <row r="19" spans="1:6" x14ac:dyDescent="0.25">
      <c r="A19" s="5" t="s">
        <v>374</v>
      </c>
      <c r="B19" s="5">
        <v>0</v>
      </c>
      <c r="C19" s="5" t="s">
        <v>374</v>
      </c>
      <c r="D19" s="5" t="s">
        <v>1120</v>
      </c>
      <c r="E19" s="5"/>
      <c r="F19" s="5"/>
    </row>
    <row r="20" spans="1:6" x14ac:dyDescent="0.25">
      <c r="A20" s="5" t="s">
        <v>374</v>
      </c>
      <c r="B20" s="5">
        <v>0</v>
      </c>
      <c r="C20" s="5" t="s">
        <v>1121</v>
      </c>
      <c r="D20" s="5" t="s">
        <v>1093</v>
      </c>
      <c r="E20" s="5"/>
      <c r="F20" s="5"/>
    </row>
    <row r="21" spans="1:6" x14ac:dyDescent="0.25">
      <c r="A21" s="5" t="s">
        <v>380</v>
      </c>
      <c r="B21" s="5">
        <v>0</v>
      </c>
      <c r="C21" s="5" t="s">
        <v>380</v>
      </c>
      <c r="D21" s="5" t="s">
        <v>1118</v>
      </c>
      <c r="E21" s="5"/>
      <c r="F21" s="5"/>
    </row>
    <row r="22" spans="1:6" x14ac:dyDescent="0.25">
      <c r="A22" s="5" t="s">
        <v>380</v>
      </c>
      <c r="B22" s="5">
        <v>0</v>
      </c>
      <c r="C22" s="5" t="s">
        <v>1115</v>
      </c>
      <c r="D22" s="5" t="s">
        <v>1116</v>
      </c>
      <c r="E22" s="5"/>
      <c r="F22" s="5"/>
    </row>
    <row r="23" spans="1:6" x14ac:dyDescent="0.25">
      <c r="A23" s="5" t="s">
        <v>399</v>
      </c>
      <c r="B23" s="5">
        <v>0</v>
      </c>
      <c r="C23" s="5" t="s">
        <v>380</v>
      </c>
      <c r="D23" s="5" t="s">
        <v>1118</v>
      </c>
      <c r="E23" s="5"/>
      <c r="F23" s="5"/>
    </row>
    <row r="24" spans="1:6" x14ac:dyDescent="0.25">
      <c r="A24" s="5" t="s">
        <v>399</v>
      </c>
      <c r="B24" s="5">
        <v>0</v>
      </c>
      <c r="C24" s="5" t="s">
        <v>1115</v>
      </c>
      <c r="D24" s="5" t="s">
        <v>1116</v>
      </c>
      <c r="E24" s="5"/>
      <c r="F24" s="5"/>
    </row>
    <row r="25" spans="1:6" x14ac:dyDescent="0.25">
      <c r="A25" s="5" t="s">
        <v>400</v>
      </c>
      <c r="B25" s="5">
        <v>0</v>
      </c>
      <c r="C25" s="5" t="s">
        <v>1115</v>
      </c>
      <c r="D25" s="5" t="s">
        <v>1116</v>
      </c>
      <c r="E25" s="5"/>
      <c r="F25" s="5"/>
    </row>
    <row r="26" spans="1:6" x14ac:dyDescent="0.25">
      <c r="A26" s="5" t="s">
        <v>400</v>
      </c>
      <c r="B26" s="5">
        <v>0</v>
      </c>
      <c r="C26" s="5" t="s">
        <v>380</v>
      </c>
      <c r="D26" s="5" t="s">
        <v>1118</v>
      </c>
      <c r="E26" s="5"/>
      <c r="F26" s="5"/>
    </row>
    <row r="27" spans="1:6" x14ac:dyDescent="0.25">
      <c r="A27" s="5" t="s">
        <v>410</v>
      </c>
      <c r="B27" s="5">
        <v>0</v>
      </c>
      <c r="C27" s="5" t="s">
        <v>1115</v>
      </c>
      <c r="D27" s="5" t="s">
        <v>1116</v>
      </c>
      <c r="E27" s="5"/>
      <c r="F27" s="5"/>
    </row>
    <row r="28" spans="1:6" x14ac:dyDescent="0.25">
      <c r="A28" s="5" t="s">
        <v>410</v>
      </c>
      <c r="B28" s="5">
        <v>0</v>
      </c>
      <c r="C28" s="5" t="s">
        <v>380</v>
      </c>
      <c r="D28" s="5" t="s">
        <v>1118</v>
      </c>
      <c r="E28" s="5"/>
      <c r="F28" s="5"/>
    </row>
    <row r="29" spans="1:6" x14ac:dyDescent="0.25">
      <c r="A29" s="5" t="s">
        <v>422</v>
      </c>
      <c r="B29" s="5">
        <v>0</v>
      </c>
      <c r="C29" s="5" t="s">
        <v>380</v>
      </c>
      <c r="D29" s="5" t="s">
        <v>1118</v>
      </c>
      <c r="E29" s="5"/>
      <c r="F29" s="5"/>
    </row>
    <row r="30" spans="1:6" x14ac:dyDescent="0.25">
      <c r="A30" s="5" t="s">
        <v>422</v>
      </c>
      <c r="B30" s="5">
        <v>0</v>
      </c>
      <c r="C30" s="5" t="s">
        <v>1115</v>
      </c>
      <c r="D30" s="5" t="s">
        <v>1116</v>
      </c>
      <c r="E30" s="5"/>
      <c r="F30" s="5"/>
    </row>
    <row r="31" spans="1:6" x14ac:dyDescent="0.25">
      <c r="A31" s="5" t="s">
        <v>448</v>
      </c>
      <c r="B31" s="5">
        <v>0</v>
      </c>
      <c r="C31" s="5" t="s">
        <v>1123</v>
      </c>
      <c r="D31" s="5" t="s">
        <v>1124</v>
      </c>
      <c r="E31" s="5"/>
      <c r="F31" s="5"/>
    </row>
    <row r="32" spans="1:6" x14ac:dyDescent="0.25">
      <c r="A32" s="5" t="s">
        <v>753</v>
      </c>
      <c r="B32" s="5">
        <v>0</v>
      </c>
      <c r="C32" s="5" t="s">
        <v>1123</v>
      </c>
      <c r="D32" s="5" t="s">
        <v>1124</v>
      </c>
      <c r="E32" s="5"/>
      <c r="F32" s="5"/>
    </row>
    <row r="33" spans="1:6" x14ac:dyDescent="0.25">
      <c r="A33" s="5" t="s">
        <v>477</v>
      </c>
      <c r="B33" s="5">
        <v>0</v>
      </c>
      <c r="C33" s="5" t="s">
        <v>380</v>
      </c>
      <c r="D33" s="5" t="s">
        <v>1118</v>
      </c>
      <c r="E33" s="5"/>
      <c r="F33" s="5"/>
    </row>
    <row r="34" spans="1:6" x14ac:dyDescent="0.25">
      <c r="A34" s="5" t="s">
        <v>508</v>
      </c>
      <c r="B34" s="5">
        <v>0</v>
      </c>
      <c r="C34" s="5" t="s">
        <v>380</v>
      </c>
      <c r="D34" s="5" t="s">
        <v>1118</v>
      </c>
      <c r="E34" s="5"/>
      <c r="F34" s="5"/>
    </row>
    <row r="35" spans="1:6" x14ac:dyDescent="0.25">
      <c r="A35" s="5" t="s">
        <v>508</v>
      </c>
      <c r="B35" s="5">
        <v>0</v>
      </c>
      <c r="C35" s="5" t="s">
        <v>1115</v>
      </c>
      <c r="D35" s="5" t="s">
        <v>1116</v>
      </c>
      <c r="E35" s="5"/>
      <c r="F35" s="5"/>
    </row>
    <row r="36" spans="1:6" x14ac:dyDescent="0.25">
      <c r="A36" s="5" t="s">
        <v>529</v>
      </c>
      <c r="B36" s="5">
        <v>0</v>
      </c>
      <c r="C36" s="5" t="s">
        <v>1115</v>
      </c>
      <c r="D36" s="5" t="s">
        <v>1116</v>
      </c>
      <c r="E36" s="5"/>
      <c r="F36" s="5"/>
    </row>
    <row r="37" spans="1:6" x14ac:dyDescent="0.25">
      <c r="A37" s="5" t="s">
        <v>529</v>
      </c>
      <c r="B37" s="5">
        <v>0</v>
      </c>
      <c r="C37" s="5" t="s">
        <v>380</v>
      </c>
      <c r="D37" s="5" t="s">
        <v>1118</v>
      </c>
      <c r="E37" s="5"/>
      <c r="F37" s="5"/>
    </row>
    <row r="38" spans="1:6" x14ac:dyDescent="0.25">
      <c r="A38" s="5" t="s">
        <v>543</v>
      </c>
      <c r="B38" s="5">
        <v>0</v>
      </c>
      <c r="C38" s="5" t="s">
        <v>1115</v>
      </c>
      <c r="D38" s="5" t="s">
        <v>1116</v>
      </c>
      <c r="E38" s="5"/>
      <c r="F38" s="5"/>
    </row>
    <row r="39" spans="1:6" x14ac:dyDescent="0.25">
      <c r="A39" s="5" t="s">
        <v>543</v>
      </c>
      <c r="B39" s="5">
        <v>0</v>
      </c>
      <c r="C39" s="5" t="s">
        <v>380</v>
      </c>
      <c r="D39" s="5" t="s">
        <v>1118</v>
      </c>
      <c r="E39" s="5"/>
      <c r="F39" s="5"/>
    </row>
    <row r="40" spans="1:6" x14ac:dyDescent="0.25">
      <c r="A40" s="5" t="s">
        <v>544</v>
      </c>
      <c r="B40" s="5">
        <v>0</v>
      </c>
      <c r="C40" s="5" t="s">
        <v>1115</v>
      </c>
      <c r="D40" s="5" t="s">
        <v>1116</v>
      </c>
      <c r="E40" s="5"/>
      <c r="F40" s="5"/>
    </row>
    <row r="41" spans="1:6" x14ac:dyDescent="0.25">
      <c r="A41" s="5" t="s">
        <v>544</v>
      </c>
      <c r="B41" s="5">
        <v>0</v>
      </c>
      <c r="C41" s="5" t="s">
        <v>380</v>
      </c>
      <c r="D41" s="5" t="s">
        <v>1118</v>
      </c>
      <c r="E41" s="5"/>
      <c r="F41" s="5"/>
    </row>
    <row r="42" spans="1:6" x14ac:dyDescent="0.25">
      <c r="A42" s="5" t="s">
        <v>583</v>
      </c>
      <c r="B42" s="5">
        <v>0</v>
      </c>
      <c r="C42" s="5" t="s">
        <v>1123</v>
      </c>
      <c r="D42" s="5" t="s">
        <v>1124</v>
      </c>
      <c r="E42" s="5"/>
      <c r="F42" s="5"/>
    </row>
    <row r="43" spans="1:6" x14ac:dyDescent="0.25">
      <c r="A43" s="5" t="s">
        <v>584</v>
      </c>
      <c r="B43" s="5">
        <v>0</v>
      </c>
      <c r="C43" s="5" t="s">
        <v>1123</v>
      </c>
      <c r="D43" s="5" t="s">
        <v>1124</v>
      </c>
      <c r="E43" s="5"/>
      <c r="F43" s="5"/>
    </row>
    <row r="44" spans="1:6" x14ac:dyDescent="0.25">
      <c r="A44" s="5" t="s">
        <v>679</v>
      </c>
      <c r="B44" s="5">
        <v>0</v>
      </c>
      <c r="C44" s="5" t="s">
        <v>1123</v>
      </c>
      <c r="D44" s="5" t="s">
        <v>1124</v>
      </c>
      <c r="E44" s="5"/>
      <c r="F44" s="5"/>
    </row>
    <row r="45" spans="1:6" x14ac:dyDescent="0.25">
      <c r="A45" s="5" t="s">
        <v>768</v>
      </c>
      <c r="B45" s="5">
        <v>0</v>
      </c>
      <c r="C45" s="5" t="s">
        <v>1123</v>
      </c>
      <c r="D45" s="5" t="s">
        <v>1124</v>
      </c>
      <c r="E45" s="5"/>
      <c r="F45" s="5"/>
    </row>
    <row r="46" spans="1:6" x14ac:dyDescent="0.25">
      <c r="A46" s="5">
        <v>110</v>
      </c>
      <c r="B46" s="5">
        <v>1</v>
      </c>
      <c r="C46" s="5" t="s">
        <v>7</v>
      </c>
      <c r="D46" s="5" t="s">
        <v>8</v>
      </c>
      <c r="E46" s="5" t="s">
        <v>9</v>
      </c>
      <c r="F46" s="5"/>
    </row>
    <row r="47" spans="1:6" x14ac:dyDescent="0.25">
      <c r="A47" s="5">
        <v>110</v>
      </c>
      <c r="B47" s="5">
        <v>1</v>
      </c>
      <c r="C47" s="5" t="s">
        <v>7</v>
      </c>
      <c r="D47" s="5" t="s">
        <v>8</v>
      </c>
      <c r="E47" s="5" t="s">
        <v>9</v>
      </c>
      <c r="F47" s="5"/>
    </row>
    <row r="48" spans="1:6" x14ac:dyDescent="0.25">
      <c r="A48" s="5" t="s">
        <v>10</v>
      </c>
      <c r="B48" s="5">
        <v>1</v>
      </c>
      <c r="C48" s="5" t="s">
        <v>7</v>
      </c>
      <c r="D48" s="5" t="s">
        <v>8</v>
      </c>
      <c r="E48" s="5" t="s">
        <v>9</v>
      </c>
      <c r="F48" s="5"/>
    </row>
    <row r="49" spans="1:6" x14ac:dyDescent="0.25">
      <c r="A49" s="5" t="s">
        <v>1125</v>
      </c>
      <c r="B49" s="5">
        <v>1</v>
      </c>
      <c r="C49" s="5" t="s">
        <v>7</v>
      </c>
      <c r="D49" s="5" t="s">
        <v>8</v>
      </c>
      <c r="E49" s="5" t="s">
        <v>9</v>
      </c>
      <c r="F49" s="5"/>
    </row>
    <row r="50" spans="1:6" x14ac:dyDescent="0.25">
      <c r="A50" s="5" t="s">
        <v>11</v>
      </c>
      <c r="B50" s="5">
        <v>1</v>
      </c>
      <c r="C50" s="5" t="s">
        <v>12</v>
      </c>
      <c r="D50" s="5" t="s">
        <v>13</v>
      </c>
      <c r="E50" s="5" t="s">
        <v>14</v>
      </c>
      <c r="F50" s="5"/>
    </row>
    <row r="51" spans="1:6" x14ac:dyDescent="0.25">
      <c r="A51" s="5" t="s">
        <v>11</v>
      </c>
      <c r="B51" s="5">
        <v>1</v>
      </c>
      <c r="C51" s="5" t="s">
        <v>15</v>
      </c>
      <c r="D51" s="5" t="s">
        <v>16</v>
      </c>
      <c r="E51" s="5" t="s">
        <v>17</v>
      </c>
      <c r="F51" s="5"/>
    </row>
    <row r="52" spans="1:6" x14ac:dyDescent="0.25">
      <c r="A52" s="5" t="s">
        <v>699</v>
      </c>
      <c r="B52" s="5">
        <v>1</v>
      </c>
      <c r="C52" s="5" t="s">
        <v>12</v>
      </c>
      <c r="D52" s="5" t="s">
        <v>13</v>
      </c>
      <c r="E52" s="5" t="s">
        <v>14</v>
      </c>
      <c r="F52" s="5"/>
    </row>
    <row r="53" spans="1:6" x14ac:dyDescent="0.25">
      <c r="A53" s="5" t="s">
        <v>699</v>
      </c>
      <c r="B53" s="5">
        <v>1</v>
      </c>
      <c r="C53" s="5" t="s">
        <v>15</v>
      </c>
      <c r="D53" s="5" t="s">
        <v>16</v>
      </c>
      <c r="E53" s="5" t="s">
        <v>17</v>
      </c>
      <c r="F53" s="5"/>
    </row>
    <row r="54" spans="1:6" x14ac:dyDescent="0.25">
      <c r="A54" s="5" t="s">
        <v>18</v>
      </c>
      <c r="B54" s="5">
        <v>1</v>
      </c>
      <c r="C54" s="5" t="s">
        <v>15</v>
      </c>
      <c r="D54" s="5" t="s">
        <v>16</v>
      </c>
      <c r="E54" s="5" t="s">
        <v>17</v>
      </c>
      <c r="F54" s="5"/>
    </row>
    <row r="55" spans="1:6" x14ac:dyDescent="0.25">
      <c r="A55" s="5" t="s">
        <v>18</v>
      </c>
      <c r="B55" s="5">
        <v>1</v>
      </c>
      <c r="C55" s="5" t="s">
        <v>12</v>
      </c>
      <c r="D55" s="5" t="s">
        <v>13</v>
      </c>
      <c r="E55" s="5" t="s">
        <v>14</v>
      </c>
      <c r="F55" s="5"/>
    </row>
    <row r="56" spans="1:6" x14ac:dyDescent="0.25">
      <c r="A56" s="5" t="s">
        <v>700</v>
      </c>
      <c r="B56" s="5">
        <v>1</v>
      </c>
      <c r="C56" s="5" t="s">
        <v>12</v>
      </c>
      <c r="D56" s="5" t="s">
        <v>13</v>
      </c>
      <c r="E56" s="5" t="s">
        <v>14</v>
      </c>
      <c r="F56" s="5"/>
    </row>
    <row r="57" spans="1:6" x14ac:dyDescent="0.25">
      <c r="A57" s="5" t="s">
        <v>700</v>
      </c>
      <c r="B57" s="5">
        <v>1</v>
      </c>
      <c r="C57" s="5" t="s">
        <v>15</v>
      </c>
      <c r="D57" s="5" t="s">
        <v>16</v>
      </c>
      <c r="E57" s="5" t="s">
        <v>17</v>
      </c>
      <c r="F57" s="5"/>
    </row>
    <row r="58" spans="1:6" x14ac:dyDescent="0.25">
      <c r="A58" s="5" t="s">
        <v>701</v>
      </c>
      <c r="B58" s="5">
        <v>1</v>
      </c>
      <c r="C58" s="5" t="s">
        <v>19</v>
      </c>
      <c r="D58" s="5" t="s">
        <v>20</v>
      </c>
      <c r="E58" s="5" t="s">
        <v>1126</v>
      </c>
      <c r="F58" s="5"/>
    </row>
    <row r="59" spans="1:6" x14ac:dyDescent="0.25">
      <c r="A59" s="5" t="s">
        <v>702</v>
      </c>
      <c r="B59" s="5">
        <v>1</v>
      </c>
      <c r="C59" s="5" t="s">
        <v>19</v>
      </c>
      <c r="D59" s="5" t="s">
        <v>20</v>
      </c>
      <c r="E59" s="5" t="s">
        <v>1126</v>
      </c>
      <c r="F59" s="5"/>
    </row>
    <row r="60" spans="1:6" x14ac:dyDescent="0.25">
      <c r="A60" s="5" t="s">
        <v>1127</v>
      </c>
      <c r="B60" s="5">
        <v>1</v>
      </c>
      <c r="C60" s="5" t="s">
        <v>703</v>
      </c>
      <c r="D60" s="5" t="s">
        <v>793</v>
      </c>
      <c r="E60" s="5" t="s">
        <v>21</v>
      </c>
      <c r="F60" s="5"/>
    </row>
    <row r="61" spans="1:6" x14ac:dyDescent="0.25">
      <c r="A61" s="5" t="s">
        <v>1128</v>
      </c>
      <c r="B61" s="5">
        <v>1</v>
      </c>
      <c r="C61" s="5" t="s">
        <v>703</v>
      </c>
      <c r="D61" s="5" t="s">
        <v>793</v>
      </c>
      <c r="E61" s="5" t="s">
        <v>21</v>
      </c>
      <c r="F61" s="5"/>
    </row>
    <row r="62" spans="1:6" x14ac:dyDescent="0.25">
      <c r="A62" s="5" t="s">
        <v>704</v>
      </c>
      <c r="B62" s="5">
        <v>1</v>
      </c>
      <c r="C62" s="5" t="s">
        <v>914</v>
      </c>
      <c r="D62" s="5" t="s">
        <v>25</v>
      </c>
      <c r="E62" s="5" t="s">
        <v>26</v>
      </c>
      <c r="F62" s="5"/>
    </row>
    <row r="63" spans="1:6" x14ac:dyDescent="0.25">
      <c r="A63" s="5" t="s">
        <v>704</v>
      </c>
      <c r="B63" s="5">
        <v>1</v>
      </c>
      <c r="C63" s="5" t="s">
        <v>22</v>
      </c>
      <c r="D63" s="5" t="s">
        <v>23</v>
      </c>
      <c r="E63" s="5" t="s">
        <v>24</v>
      </c>
      <c r="F63" s="5"/>
    </row>
    <row r="64" spans="1:6" x14ac:dyDescent="0.25">
      <c r="A64" s="5" t="s">
        <v>705</v>
      </c>
      <c r="B64" s="5">
        <v>1</v>
      </c>
      <c r="C64" s="5" t="s">
        <v>22</v>
      </c>
      <c r="D64" s="5" t="s">
        <v>23</v>
      </c>
      <c r="E64" s="5" t="s">
        <v>24</v>
      </c>
      <c r="F64" s="5"/>
    </row>
    <row r="65" spans="1:6" x14ac:dyDescent="0.25">
      <c r="A65" s="5" t="s">
        <v>705</v>
      </c>
      <c r="B65" s="5">
        <v>1</v>
      </c>
      <c r="C65" s="5" t="s">
        <v>914</v>
      </c>
      <c r="D65" s="5" t="s">
        <v>25</v>
      </c>
      <c r="E65" s="5" t="s">
        <v>26</v>
      </c>
      <c r="F65" s="5"/>
    </row>
    <row r="66" spans="1:6" x14ac:dyDescent="0.25">
      <c r="A66" s="5" t="s">
        <v>27</v>
      </c>
      <c r="B66" s="5">
        <v>1</v>
      </c>
      <c r="C66" s="5" t="s">
        <v>28</v>
      </c>
      <c r="D66" s="5" t="s">
        <v>29</v>
      </c>
      <c r="E66" s="5" t="s">
        <v>30</v>
      </c>
      <c r="F66" s="5"/>
    </row>
    <row r="67" spans="1:6" x14ac:dyDescent="0.25">
      <c r="A67" s="5" t="s">
        <v>706</v>
      </c>
      <c r="B67" s="5">
        <v>1</v>
      </c>
      <c r="C67" s="5" t="s">
        <v>28</v>
      </c>
      <c r="D67" s="5" t="s">
        <v>29</v>
      </c>
      <c r="E67" s="5" t="s">
        <v>30</v>
      </c>
      <c r="F67" s="5"/>
    </row>
    <row r="68" spans="1:6" x14ac:dyDescent="0.25">
      <c r="A68" s="5" t="s">
        <v>1129</v>
      </c>
      <c r="B68" s="5">
        <v>1</v>
      </c>
      <c r="C68" s="5" t="s">
        <v>310</v>
      </c>
      <c r="D68" s="5" t="s">
        <v>1075</v>
      </c>
      <c r="E68" s="5" t="s">
        <v>312</v>
      </c>
      <c r="F68" s="5"/>
    </row>
    <row r="69" spans="1:6" x14ac:dyDescent="0.25">
      <c r="A69" s="5" t="s">
        <v>1129</v>
      </c>
      <c r="B69" s="5">
        <v>1</v>
      </c>
      <c r="C69" s="5" t="s">
        <v>307</v>
      </c>
      <c r="D69" s="5" t="s">
        <v>1077</v>
      </c>
      <c r="E69" s="5" t="s">
        <v>309</v>
      </c>
      <c r="F69" s="5"/>
    </row>
    <row r="70" spans="1:6" x14ac:dyDescent="0.25">
      <c r="A70" s="5" t="s">
        <v>1129</v>
      </c>
      <c r="B70" s="5">
        <v>1</v>
      </c>
      <c r="C70" s="5" t="s">
        <v>313</v>
      </c>
      <c r="D70" s="5" t="s">
        <v>1130</v>
      </c>
      <c r="E70" s="5" t="s">
        <v>315</v>
      </c>
      <c r="F70" s="5"/>
    </row>
    <row r="71" spans="1:6" x14ac:dyDescent="0.25">
      <c r="A71" s="5" t="s">
        <v>1131</v>
      </c>
      <c r="B71" s="5">
        <v>1</v>
      </c>
      <c r="C71" s="5" t="s">
        <v>310</v>
      </c>
      <c r="D71" s="5" t="s">
        <v>1075</v>
      </c>
      <c r="E71" s="5" t="s">
        <v>312</v>
      </c>
      <c r="F71" s="5"/>
    </row>
    <row r="72" spans="1:6" x14ac:dyDescent="0.25">
      <c r="A72" s="5" t="s">
        <v>1131</v>
      </c>
      <c r="B72" s="5">
        <v>1</v>
      </c>
      <c r="C72" s="5" t="s">
        <v>313</v>
      </c>
      <c r="D72" s="5" t="s">
        <v>1130</v>
      </c>
      <c r="E72" s="5" t="s">
        <v>315</v>
      </c>
      <c r="F72" s="5"/>
    </row>
    <row r="73" spans="1:6" x14ac:dyDescent="0.25">
      <c r="A73" s="5" t="s">
        <v>1131</v>
      </c>
      <c r="B73" s="5">
        <v>1</v>
      </c>
      <c r="C73" s="5" t="s">
        <v>307</v>
      </c>
      <c r="D73" s="5" t="s">
        <v>1077</v>
      </c>
      <c r="E73" s="5" t="s">
        <v>309</v>
      </c>
      <c r="F73" s="5"/>
    </row>
    <row r="74" spans="1:6" x14ac:dyDescent="0.25">
      <c r="A74" s="5" t="s">
        <v>707</v>
      </c>
      <c r="B74" s="5">
        <v>1</v>
      </c>
      <c r="C74" s="5" t="s">
        <v>34</v>
      </c>
      <c r="D74" s="5" t="s">
        <v>35</v>
      </c>
      <c r="E74" s="5" t="s">
        <v>36</v>
      </c>
      <c r="F74" s="5"/>
    </row>
    <row r="75" spans="1:6" x14ac:dyDescent="0.25">
      <c r="A75" s="5" t="s">
        <v>707</v>
      </c>
      <c r="B75" s="5">
        <v>1</v>
      </c>
      <c r="C75" s="5" t="s">
        <v>31</v>
      </c>
      <c r="D75" s="5" t="s">
        <v>32</v>
      </c>
      <c r="E75" s="5" t="s">
        <v>33</v>
      </c>
      <c r="F75" s="5"/>
    </row>
    <row r="76" spans="1:6" x14ac:dyDescent="0.25">
      <c r="A76" s="5" t="s">
        <v>708</v>
      </c>
      <c r="B76" s="5">
        <v>1</v>
      </c>
      <c r="C76" s="5" t="s">
        <v>34</v>
      </c>
      <c r="D76" s="5" t="s">
        <v>35</v>
      </c>
      <c r="E76" s="5" t="s">
        <v>36</v>
      </c>
      <c r="F76" s="5"/>
    </row>
    <row r="77" spans="1:6" x14ac:dyDescent="0.25">
      <c r="A77" s="5" t="s">
        <v>708</v>
      </c>
      <c r="B77" s="5">
        <v>1</v>
      </c>
      <c r="C77" s="5" t="s">
        <v>31</v>
      </c>
      <c r="D77" s="5" t="s">
        <v>32</v>
      </c>
      <c r="E77" s="5" t="s">
        <v>33</v>
      </c>
      <c r="F77" s="5"/>
    </row>
    <row r="78" spans="1:6" x14ac:dyDescent="0.25">
      <c r="A78" s="5" t="s">
        <v>709</v>
      </c>
      <c r="B78" s="5">
        <v>1</v>
      </c>
      <c r="C78" s="5" t="s">
        <v>37</v>
      </c>
      <c r="D78" s="5" t="s">
        <v>38</v>
      </c>
      <c r="E78" s="5" t="s">
        <v>39</v>
      </c>
      <c r="F78" s="5"/>
    </row>
    <row r="79" spans="1:6" x14ac:dyDescent="0.25">
      <c r="A79" s="5" t="s">
        <v>710</v>
      </c>
      <c r="B79" s="5">
        <v>1</v>
      </c>
      <c r="C79" s="5" t="s">
        <v>37</v>
      </c>
      <c r="D79" s="5" t="s">
        <v>38</v>
      </c>
      <c r="E79" s="5" t="s">
        <v>39</v>
      </c>
      <c r="F79" s="5"/>
    </row>
    <row r="80" spans="1:6" x14ac:dyDescent="0.25">
      <c r="A80" s="5" t="s">
        <v>711</v>
      </c>
      <c r="B80" s="5">
        <v>1</v>
      </c>
      <c r="C80" s="5" t="s">
        <v>46</v>
      </c>
      <c r="D80" s="5" t="s">
        <v>47</v>
      </c>
      <c r="E80" s="5" t="s">
        <v>48</v>
      </c>
      <c r="F80" s="5"/>
    </row>
    <row r="81" spans="1:6" x14ac:dyDescent="0.25">
      <c r="A81" s="5" t="s">
        <v>711</v>
      </c>
      <c r="B81" s="5">
        <v>1</v>
      </c>
      <c r="C81" s="5" t="s">
        <v>43</v>
      </c>
      <c r="D81" s="5" t="s">
        <v>44</v>
      </c>
      <c r="E81" s="5" t="s">
        <v>45</v>
      </c>
      <c r="F81" s="5"/>
    </row>
    <row r="82" spans="1:6" x14ac:dyDescent="0.25">
      <c r="A82" s="5" t="s">
        <v>711</v>
      </c>
      <c r="B82" s="5">
        <v>1</v>
      </c>
      <c r="C82" s="5" t="s">
        <v>40</v>
      </c>
      <c r="D82" s="5" t="s">
        <v>41</v>
      </c>
      <c r="E82" s="5" t="s">
        <v>42</v>
      </c>
      <c r="F82" s="5"/>
    </row>
    <row r="83" spans="1:6" x14ac:dyDescent="0.25">
      <c r="A83" s="5" t="s">
        <v>712</v>
      </c>
      <c r="B83" s="5">
        <v>1</v>
      </c>
      <c r="C83" s="5" t="s">
        <v>40</v>
      </c>
      <c r="D83" s="5" t="s">
        <v>41</v>
      </c>
      <c r="E83" s="5" t="s">
        <v>42</v>
      </c>
      <c r="F83" s="5"/>
    </row>
    <row r="84" spans="1:6" x14ac:dyDescent="0.25">
      <c r="A84" s="5" t="s">
        <v>712</v>
      </c>
      <c r="B84" s="5">
        <v>1</v>
      </c>
      <c r="C84" s="5" t="s">
        <v>43</v>
      </c>
      <c r="D84" s="5" t="s">
        <v>44</v>
      </c>
      <c r="E84" s="5" t="s">
        <v>45</v>
      </c>
      <c r="F84" s="5"/>
    </row>
    <row r="85" spans="1:6" x14ac:dyDescent="0.25">
      <c r="A85" s="5" t="s">
        <v>712</v>
      </c>
      <c r="B85" s="5">
        <v>1</v>
      </c>
      <c r="C85" s="5" t="s">
        <v>46</v>
      </c>
      <c r="D85" s="5" t="s">
        <v>47</v>
      </c>
      <c r="E85" s="5" t="s">
        <v>48</v>
      </c>
      <c r="F85" s="5"/>
    </row>
    <row r="86" spans="1:6" x14ac:dyDescent="0.25">
      <c r="A86" s="5" t="s">
        <v>49</v>
      </c>
      <c r="B86" s="5">
        <v>1</v>
      </c>
      <c r="C86" s="5" t="s">
        <v>53</v>
      </c>
      <c r="D86" s="5" t="s">
        <v>54</v>
      </c>
      <c r="E86" s="5" t="s">
        <v>55</v>
      </c>
      <c r="F86" s="5"/>
    </row>
    <row r="87" spans="1:6" x14ac:dyDescent="0.25">
      <c r="A87" s="5" t="s">
        <v>49</v>
      </c>
      <c r="B87" s="5">
        <v>1</v>
      </c>
      <c r="C87" s="5" t="s">
        <v>50</v>
      </c>
      <c r="D87" s="5" t="s">
        <v>1047</v>
      </c>
      <c r="E87" s="5" t="s">
        <v>52</v>
      </c>
      <c r="F87" s="5"/>
    </row>
    <row r="88" spans="1:6" x14ac:dyDescent="0.25">
      <c r="A88" s="5" t="s">
        <v>713</v>
      </c>
      <c r="B88" s="5">
        <v>1</v>
      </c>
      <c r="C88" s="5" t="s">
        <v>50</v>
      </c>
      <c r="D88" s="5" t="s">
        <v>1047</v>
      </c>
      <c r="E88" s="5" t="s">
        <v>52</v>
      </c>
      <c r="F88" s="5"/>
    </row>
    <row r="89" spans="1:6" x14ac:dyDescent="0.25">
      <c r="A89" s="5" t="s">
        <v>713</v>
      </c>
      <c r="B89" s="5">
        <v>1</v>
      </c>
      <c r="C89" s="5" t="s">
        <v>53</v>
      </c>
      <c r="D89" s="5" t="s">
        <v>54</v>
      </c>
      <c r="E89" s="5" t="s">
        <v>55</v>
      </c>
      <c r="F89" s="5"/>
    </row>
    <row r="90" spans="1:6" x14ac:dyDescent="0.25">
      <c r="A90" s="5" t="s">
        <v>56</v>
      </c>
      <c r="B90" s="5">
        <v>1</v>
      </c>
      <c r="C90" s="5" t="s">
        <v>57</v>
      </c>
      <c r="D90" s="5" t="s">
        <v>58</v>
      </c>
      <c r="E90" s="5" t="s">
        <v>59</v>
      </c>
      <c r="F90" s="5"/>
    </row>
    <row r="91" spans="1:6" x14ac:dyDescent="0.25">
      <c r="A91" s="5" t="s">
        <v>60</v>
      </c>
      <c r="B91" s="5">
        <v>1</v>
      </c>
      <c r="C91" s="5" t="s">
        <v>57</v>
      </c>
      <c r="D91" s="5" t="s">
        <v>58</v>
      </c>
      <c r="E91" s="5" t="s">
        <v>59</v>
      </c>
      <c r="F91" s="5"/>
    </row>
    <row r="92" spans="1:6" x14ac:dyDescent="0.25">
      <c r="A92" s="5" t="s">
        <v>61</v>
      </c>
      <c r="B92" s="5">
        <v>1</v>
      </c>
      <c r="C92" s="5" t="s">
        <v>53</v>
      </c>
      <c r="D92" s="5" t="s">
        <v>54</v>
      </c>
      <c r="E92" s="5" t="s">
        <v>55</v>
      </c>
      <c r="F92" s="5"/>
    </row>
    <row r="93" spans="1:6" x14ac:dyDescent="0.25">
      <c r="A93" s="5" t="s">
        <v>61</v>
      </c>
      <c r="B93" s="5">
        <v>1</v>
      </c>
      <c r="C93" s="5" t="s">
        <v>50</v>
      </c>
      <c r="D93" s="5" t="s">
        <v>1047</v>
      </c>
      <c r="E93" s="5" t="s">
        <v>52</v>
      </c>
      <c r="F93" s="5"/>
    </row>
    <row r="94" spans="1:6" x14ac:dyDescent="0.25">
      <c r="A94" s="5" t="s">
        <v>714</v>
      </c>
      <c r="B94" s="5">
        <v>1</v>
      </c>
      <c r="C94" s="5" t="s">
        <v>50</v>
      </c>
      <c r="D94" s="5" t="s">
        <v>1047</v>
      </c>
      <c r="E94" s="5" t="s">
        <v>52</v>
      </c>
      <c r="F94" s="5"/>
    </row>
    <row r="95" spans="1:6" x14ac:dyDescent="0.25">
      <c r="A95" s="5" t="s">
        <v>714</v>
      </c>
      <c r="B95" s="5">
        <v>1</v>
      </c>
      <c r="C95" s="5" t="s">
        <v>53</v>
      </c>
      <c r="D95" s="5" t="s">
        <v>54</v>
      </c>
      <c r="E95" s="5" t="s">
        <v>55</v>
      </c>
      <c r="F95" s="5"/>
    </row>
    <row r="96" spans="1:6" x14ac:dyDescent="0.25">
      <c r="A96" s="5" t="s">
        <v>65</v>
      </c>
      <c r="B96" s="5">
        <v>1</v>
      </c>
      <c r="C96" s="5" t="s">
        <v>62</v>
      </c>
      <c r="D96" s="5" t="s">
        <v>1132</v>
      </c>
      <c r="E96" s="5" t="s">
        <v>64</v>
      </c>
      <c r="F96" s="5"/>
    </row>
    <row r="97" spans="1:6" x14ac:dyDescent="0.25">
      <c r="A97" s="5" t="s">
        <v>715</v>
      </c>
      <c r="B97" s="5">
        <v>1</v>
      </c>
      <c r="C97" s="5" t="s">
        <v>62</v>
      </c>
      <c r="D97" s="5" t="s">
        <v>1132</v>
      </c>
      <c r="E97" s="5" t="s">
        <v>64</v>
      </c>
      <c r="F97" s="5"/>
    </row>
    <row r="98" spans="1:6" x14ac:dyDescent="0.25">
      <c r="A98" s="5" t="s">
        <v>66</v>
      </c>
      <c r="B98" s="5">
        <v>1</v>
      </c>
      <c r="C98" s="5" t="s">
        <v>19</v>
      </c>
      <c r="D98" s="5" t="s">
        <v>20</v>
      </c>
      <c r="E98" s="5" t="s">
        <v>1126</v>
      </c>
      <c r="F98" s="5"/>
    </row>
    <row r="99" spans="1:6" x14ac:dyDescent="0.25">
      <c r="A99" s="5" t="s">
        <v>716</v>
      </c>
      <c r="B99" s="5">
        <v>1</v>
      </c>
      <c r="C99" s="5" t="s">
        <v>19</v>
      </c>
      <c r="D99" s="5" t="s">
        <v>20</v>
      </c>
      <c r="E99" s="5" t="s">
        <v>1126</v>
      </c>
      <c r="F99" s="5"/>
    </row>
    <row r="100" spans="1:6" x14ac:dyDescent="0.25">
      <c r="A100" s="5" t="s">
        <v>1133</v>
      </c>
      <c r="B100" s="5">
        <v>1</v>
      </c>
      <c r="C100" s="5" t="s">
        <v>703</v>
      </c>
      <c r="D100" s="5" t="s">
        <v>793</v>
      </c>
      <c r="E100" s="5" t="s">
        <v>21</v>
      </c>
      <c r="F100" s="5"/>
    </row>
    <row r="101" spans="1:6" x14ac:dyDescent="0.25">
      <c r="A101" s="5" t="s">
        <v>1134</v>
      </c>
      <c r="B101" s="5">
        <v>1</v>
      </c>
      <c r="C101" s="5" t="s">
        <v>703</v>
      </c>
      <c r="D101" s="5" t="s">
        <v>793</v>
      </c>
      <c r="E101" s="5" t="s">
        <v>21</v>
      </c>
      <c r="F101" s="5"/>
    </row>
    <row r="102" spans="1:6" x14ac:dyDescent="0.25">
      <c r="A102" s="5" t="s">
        <v>70</v>
      </c>
      <c r="B102" s="5">
        <v>1</v>
      </c>
      <c r="C102" s="5" t="s">
        <v>71</v>
      </c>
      <c r="D102" s="5" t="s">
        <v>72</v>
      </c>
      <c r="E102" s="5" t="s">
        <v>73</v>
      </c>
      <c r="F102" s="5"/>
    </row>
    <row r="103" spans="1:6" x14ac:dyDescent="0.25">
      <c r="A103" s="5" t="s">
        <v>717</v>
      </c>
      <c r="B103" s="5">
        <v>1</v>
      </c>
      <c r="C103" s="5" t="s">
        <v>71</v>
      </c>
      <c r="D103" s="5" t="s">
        <v>72</v>
      </c>
      <c r="E103" s="5" t="s">
        <v>73</v>
      </c>
      <c r="F103" s="5"/>
    </row>
    <row r="104" spans="1:6" x14ac:dyDescent="0.25">
      <c r="A104" s="5" t="s">
        <v>718</v>
      </c>
      <c r="B104" s="5">
        <v>1</v>
      </c>
      <c r="C104" s="5" t="s">
        <v>74</v>
      </c>
      <c r="D104" s="5" t="s">
        <v>75</v>
      </c>
      <c r="E104" s="5" t="s">
        <v>76</v>
      </c>
      <c r="F104" s="5"/>
    </row>
    <row r="105" spans="1:6" x14ac:dyDescent="0.25">
      <c r="A105" s="5" t="s">
        <v>719</v>
      </c>
      <c r="B105" s="5">
        <v>1</v>
      </c>
      <c r="C105" s="5" t="s">
        <v>74</v>
      </c>
      <c r="D105" s="5" t="s">
        <v>75</v>
      </c>
      <c r="E105" s="5" t="s">
        <v>76</v>
      </c>
      <c r="F105" s="5"/>
    </row>
    <row r="106" spans="1:6" x14ac:dyDescent="0.25">
      <c r="A106" s="5" t="s">
        <v>1135</v>
      </c>
      <c r="B106" s="5">
        <v>1</v>
      </c>
      <c r="C106" s="5" t="s">
        <v>77</v>
      </c>
      <c r="D106" s="5" t="s">
        <v>78</v>
      </c>
      <c r="E106" s="5" t="s">
        <v>79</v>
      </c>
      <c r="F106" s="5"/>
    </row>
    <row r="107" spans="1:6" x14ac:dyDescent="0.25">
      <c r="A107" s="5" t="s">
        <v>1135</v>
      </c>
      <c r="B107" s="5">
        <v>1</v>
      </c>
      <c r="C107" s="5" t="s">
        <v>80</v>
      </c>
      <c r="D107" s="5" t="s">
        <v>81</v>
      </c>
      <c r="E107" s="5" t="s">
        <v>82</v>
      </c>
      <c r="F107" s="5"/>
    </row>
    <row r="108" spans="1:6" x14ac:dyDescent="0.25">
      <c r="A108" s="5" t="s">
        <v>1136</v>
      </c>
      <c r="B108" s="5">
        <v>1</v>
      </c>
      <c r="C108" s="5" t="s">
        <v>77</v>
      </c>
      <c r="D108" s="5" t="s">
        <v>78</v>
      </c>
      <c r="E108" s="5" t="s">
        <v>79</v>
      </c>
      <c r="F108" s="5"/>
    </row>
    <row r="109" spans="1:6" x14ac:dyDescent="0.25">
      <c r="A109" s="5" t="s">
        <v>1136</v>
      </c>
      <c r="B109" s="5">
        <v>1</v>
      </c>
      <c r="C109" s="5" t="s">
        <v>80</v>
      </c>
      <c r="D109" s="5" t="s">
        <v>81</v>
      </c>
      <c r="E109" s="5" t="s">
        <v>82</v>
      </c>
      <c r="F109" s="5"/>
    </row>
    <row r="110" spans="1:6" x14ac:dyDescent="0.25">
      <c r="A110" s="5" t="s">
        <v>1137</v>
      </c>
      <c r="B110" s="5">
        <v>1</v>
      </c>
      <c r="C110" s="5" t="s">
        <v>77</v>
      </c>
      <c r="D110" s="5" t="s">
        <v>78</v>
      </c>
      <c r="E110" s="5" t="s">
        <v>79</v>
      </c>
      <c r="F110" s="5"/>
    </row>
    <row r="111" spans="1:6" x14ac:dyDescent="0.25">
      <c r="A111" s="5" t="s">
        <v>1137</v>
      </c>
      <c r="B111" s="5">
        <v>1</v>
      </c>
      <c r="C111" s="5" t="s">
        <v>80</v>
      </c>
      <c r="D111" s="5" t="s">
        <v>81</v>
      </c>
      <c r="E111" s="5" t="s">
        <v>82</v>
      </c>
      <c r="F111" s="5"/>
    </row>
    <row r="112" spans="1:6" x14ac:dyDescent="0.25">
      <c r="A112" s="5" t="s">
        <v>1138</v>
      </c>
      <c r="B112" s="5">
        <v>1</v>
      </c>
      <c r="C112" s="5" t="s">
        <v>80</v>
      </c>
      <c r="D112" s="5" t="s">
        <v>81</v>
      </c>
      <c r="E112" s="5" t="s">
        <v>82</v>
      </c>
      <c r="F112" s="5"/>
    </row>
    <row r="113" spans="1:6" x14ac:dyDescent="0.25">
      <c r="A113" s="5" t="s">
        <v>1138</v>
      </c>
      <c r="B113" s="5">
        <v>1</v>
      </c>
      <c r="C113" s="5" t="s">
        <v>77</v>
      </c>
      <c r="D113" s="5" t="s">
        <v>78</v>
      </c>
      <c r="E113" s="5" t="s">
        <v>79</v>
      </c>
      <c r="F113" s="5"/>
    </row>
    <row r="114" spans="1:6" x14ac:dyDescent="0.25">
      <c r="A114" s="5" t="s">
        <v>1139</v>
      </c>
      <c r="B114" s="5">
        <v>1</v>
      </c>
      <c r="C114" s="5" t="s">
        <v>80</v>
      </c>
      <c r="D114" s="5" t="s">
        <v>81</v>
      </c>
      <c r="E114" s="5" t="s">
        <v>82</v>
      </c>
      <c r="F114" s="5"/>
    </row>
    <row r="115" spans="1:6" x14ac:dyDescent="0.25">
      <c r="A115" s="5" t="s">
        <v>1139</v>
      </c>
      <c r="B115" s="5">
        <v>1</v>
      </c>
      <c r="C115" s="5" t="s">
        <v>77</v>
      </c>
      <c r="D115" s="5" t="s">
        <v>78</v>
      </c>
      <c r="E115" s="5" t="s">
        <v>79</v>
      </c>
      <c r="F115" s="5"/>
    </row>
    <row r="116" spans="1:6" x14ac:dyDescent="0.25">
      <c r="A116" s="5" t="s">
        <v>1140</v>
      </c>
      <c r="B116" s="5">
        <v>1</v>
      </c>
      <c r="C116" s="5" t="s">
        <v>80</v>
      </c>
      <c r="D116" s="5" t="s">
        <v>81</v>
      </c>
      <c r="E116" s="5" t="s">
        <v>82</v>
      </c>
      <c r="F116" s="5"/>
    </row>
    <row r="117" spans="1:6" x14ac:dyDescent="0.25">
      <c r="A117" s="5" t="s">
        <v>1140</v>
      </c>
      <c r="B117" s="5">
        <v>1</v>
      </c>
      <c r="C117" s="5" t="s">
        <v>77</v>
      </c>
      <c r="D117" s="5" t="s">
        <v>78</v>
      </c>
      <c r="E117" s="5" t="s">
        <v>79</v>
      </c>
      <c r="F117" s="5"/>
    </row>
    <row r="118" spans="1:6" x14ac:dyDescent="0.25">
      <c r="A118" s="5" t="s">
        <v>1141</v>
      </c>
      <c r="B118" s="5">
        <v>1</v>
      </c>
      <c r="C118" s="5" t="s">
        <v>80</v>
      </c>
      <c r="D118" s="5" t="s">
        <v>81</v>
      </c>
      <c r="E118" s="5" t="s">
        <v>82</v>
      </c>
      <c r="F118" s="5"/>
    </row>
    <row r="119" spans="1:6" x14ac:dyDescent="0.25">
      <c r="A119" s="5" t="s">
        <v>1141</v>
      </c>
      <c r="B119" s="5">
        <v>1</v>
      </c>
      <c r="C119" s="5" t="s">
        <v>77</v>
      </c>
      <c r="D119" s="5" t="s">
        <v>78</v>
      </c>
      <c r="E119" s="5" t="s">
        <v>79</v>
      </c>
      <c r="F119" s="5"/>
    </row>
    <row r="120" spans="1:6" x14ac:dyDescent="0.25">
      <c r="A120" s="5" t="s">
        <v>1142</v>
      </c>
      <c r="B120" s="5">
        <v>1</v>
      </c>
      <c r="C120" s="5" t="s">
        <v>77</v>
      </c>
      <c r="D120" s="5" t="s">
        <v>78</v>
      </c>
      <c r="E120" s="5" t="s">
        <v>79</v>
      </c>
      <c r="F120" s="5"/>
    </row>
    <row r="121" spans="1:6" x14ac:dyDescent="0.25">
      <c r="A121" s="5" t="s">
        <v>1142</v>
      </c>
      <c r="B121" s="5">
        <v>1</v>
      </c>
      <c r="C121" s="5" t="s">
        <v>80</v>
      </c>
      <c r="D121" s="5" t="s">
        <v>81</v>
      </c>
      <c r="E121" s="5" t="s">
        <v>82</v>
      </c>
      <c r="F121" s="5"/>
    </row>
    <row r="122" spans="1:6" x14ac:dyDescent="0.25">
      <c r="A122" s="5" t="s">
        <v>1143</v>
      </c>
      <c r="B122" s="5">
        <v>1</v>
      </c>
      <c r="C122" s="5" t="s">
        <v>77</v>
      </c>
      <c r="D122" s="5" t="s">
        <v>78</v>
      </c>
      <c r="E122" s="5" t="s">
        <v>79</v>
      </c>
      <c r="F122" s="5"/>
    </row>
    <row r="123" spans="1:6" x14ac:dyDescent="0.25">
      <c r="A123" s="5" t="s">
        <v>1143</v>
      </c>
      <c r="B123" s="5">
        <v>1</v>
      </c>
      <c r="C123" s="5" t="s">
        <v>80</v>
      </c>
      <c r="D123" s="5" t="s">
        <v>81</v>
      </c>
      <c r="E123" s="5" t="s">
        <v>82</v>
      </c>
      <c r="F123" s="5"/>
    </row>
    <row r="124" spans="1:6" x14ac:dyDescent="0.25">
      <c r="A124" s="5" t="s">
        <v>1144</v>
      </c>
      <c r="B124" s="5">
        <v>1</v>
      </c>
      <c r="C124" s="5" t="s">
        <v>80</v>
      </c>
      <c r="D124" s="5" t="s">
        <v>81</v>
      </c>
      <c r="E124" s="5" t="s">
        <v>82</v>
      </c>
      <c r="F124" s="5"/>
    </row>
    <row r="125" spans="1:6" x14ac:dyDescent="0.25">
      <c r="A125" s="5" t="s">
        <v>1144</v>
      </c>
      <c r="B125" s="5">
        <v>1</v>
      </c>
      <c r="C125" s="5" t="s">
        <v>77</v>
      </c>
      <c r="D125" s="5" t="s">
        <v>78</v>
      </c>
      <c r="E125" s="5" t="s">
        <v>79</v>
      </c>
      <c r="F125" s="5"/>
    </row>
    <row r="126" spans="1:6" x14ac:dyDescent="0.25">
      <c r="A126" s="5" t="s">
        <v>1145</v>
      </c>
      <c r="B126" s="5">
        <v>1</v>
      </c>
      <c r="C126" s="5" t="s">
        <v>80</v>
      </c>
      <c r="D126" s="5" t="s">
        <v>81</v>
      </c>
      <c r="E126" s="5" t="s">
        <v>82</v>
      </c>
      <c r="F126" s="5"/>
    </row>
    <row r="127" spans="1:6" x14ac:dyDescent="0.25">
      <c r="A127" s="5" t="s">
        <v>1145</v>
      </c>
      <c r="B127" s="5">
        <v>1</v>
      </c>
      <c r="C127" s="5" t="s">
        <v>77</v>
      </c>
      <c r="D127" s="5" t="s">
        <v>78</v>
      </c>
      <c r="E127" s="5" t="s">
        <v>79</v>
      </c>
      <c r="F127" s="5"/>
    </row>
    <row r="128" spans="1:6" x14ac:dyDescent="0.25">
      <c r="A128" s="5" t="s">
        <v>1146</v>
      </c>
      <c r="B128" s="5">
        <v>1</v>
      </c>
      <c r="C128" s="5" t="s">
        <v>77</v>
      </c>
      <c r="D128" s="5" t="s">
        <v>78</v>
      </c>
      <c r="E128" s="5" t="s">
        <v>79</v>
      </c>
      <c r="F128" s="5"/>
    </row>
    <row r="129" spans="1:6" x14ac:dyDescent="0.25">
      <c r="A129" s="5" t="s">
        <v>1146</v>
      </c>
      <c r="B129" s="5">
        <v>1</v>
      </c>
      <c r="C129" s="5" t="s">
        <v>80</v>
      </c>
      <c r="D129" s="5" t="s">
        <v>81</v>
      </c>
      <c r="E129" s="5" t="s">
        <v>82</v>
      </c>
      <c r="F129" s="5"/>
    </row>
    <row r="130" spans="1:6" x14ac:dyDescent="0.25">
      <c r="A130" s="5" t="s">
        <v>720</v>
      </c>
      <c r="B130" s="5">
        <v>1</v>
      </c>
      <c r="C130" s="5" t="s">
        <v>83</v>
      </c>
      <c r="D130" s="5" t="s">
        <v>84</v>
      </c>
      <c r="E130" s="5" t="s">
        <v>85</v>
      </c>
      <c r="F130" s="5"/>
    </row>
    <row r="131" spans="1:6" x14ac:dyDescent="0.25">
      <c r="A131" s="5" t="s">
        <v>721</v>
      </c>
      <c r="B131" s="5">
        <v>1</v>
      </c>
      <c r="C131" s="5" t="s">
        <v>83</v>
      </c>
      <c r="D131" s="5" t="s">
        <v>84</v>
      </c>
      <c r="E131" s="5" t="s">
        <v>85</v>
      </c>
      <c r="F131" s="5"/>
    </row>
    <row r="132" spans="1:6" x14ac:dyDescent="0.25">
      <c r="A132" s="5" t="s">
        <v>722</v>
      </c>
      <c r="B132" s="5">
        <v>1</v>
      </c>
      <c r="C132" s="5" t="s">
        <v>92</v>
      </c>
      <c r="D132" s="5" t="s">
        <v>93</v>
      </c>
      <c r="E132" s="5" t="s">
        <v>94</v>
      </c>
      <c r="F132" s="5"/>
    </row>
    <row r="133" spans="1:6" x14ac:dyDescent="0.25">
      <c r="A133" s="5" t="s">
        <v>722</v>
      </c>
      <c r="B133" s="5">
        <v>1</v>
      </c>
      <c r="C133" s="5" t="s">
        <v>89</v>
      </c>
      <c r="D133" s="5" t="s">
        <v>90</v>
      </c>
      <c r="E133" s="5" t="s">
        <v>91</v>
      </c>
      <c r="F133" s="5"/>
    </row>
    <row r="134" spans="1:6" x14ac:dyDescent="0.25">
      <c r="A134" s="5" t="s">
        <v>722</v>
      </c>
      <c r="B134" s="5">
        <v>1</v>
      </c>
      <c r="C134" s="5" t="s">
        <v>86</v>
      </c>
      <c r="D134" s="5" t="s">
        <v>87</v>
      </c>
      <c r="E134" s="5" t="s">
        <v>88</v>
      </c>
      <c r="F134" s="5"/>
    </row>
    <row r="135" spans="1:6" x14ac:dyDescent="0.25">
      <c r="A135" s="5" t="s">
        <v>723</v>
      </c>
      <c r="B135" s="5">
        <v>1</v>
      </c>
      <c r="C135" s="5" t="s">
        <v>86</v>
      </c>
      <c r="D135" s="5" t="s">
        <v>87</v>
      </c>
      <c r="E135" s="5" t="s">
        <v>88</v>
      </c>
      <c r="F135" s="5"/>
    </row>
    <row r="136" spans="1:6" x14ac:dyDescent="0.25">
      <c r="A136" s="5" t="s">
        <v>723</v>
      </c>
      <c r="B136" s="5">
        <v>1</v>
      </c>
      <c r="C136" s="5" t="s">
        <v>89</v>
      </c>
      <c r="D136" s="5" t="s">
        <v>90</v>
      </c>
      <c r="E136" s="5" t="s">
        <v>91</v>
      </c>
      <c r="F136" s="5"/>
    </row>
    <row r="137" spans="1:6" x14ac:dyDescent="0.25">
      <c r="A137" s="5" t="s">
        <v>723</v>
      </c>
      <c r="B137" s="5">
        <v>1</v>
      </c>
      <c r="C137" s="5" t="s">
        <v>92</v>
      </c>
      <c r="D137" s="5" t="s">
        <v>93</v>
      </c>
      <c r="E137" s="5" t="s">
        <v>94</v>
      </c>
      <c r="F137" s="5"/>
    </row>
    <row r="138" spans="1:6" x14ac:dyDescent="0.25">
      <c r="A138" s="5" t="s">
        <v>98</v>
      </c>
      <c r="B138" s="5">
        <v>1</v>
      </c>
      <c r="C138" s="5" t="s">
        <v>99</v>
      </c>
      <c r="D138" s="5" t="s">
        <v>100</v>
      </c>
      <c r="E138" s="5" t="s">
        <v>101</v>
      </c>
      <c r="F138" s="5"/>
    </row>
    <row r="139" spans="1:6" x14ac:dyDescent="0.25">
      <c r="A139" s="5" t="s">
        <v>724</v>
      </c>
      <c r="B139" s="5">
        <v>1</v>
      </c>
      <c r="C139" s="5" t="s">
        <v>99</v>
      </c>
      <c r="D139" s="5" t="s">
        <v>100</v>
      </c>
      <c r="E139" s="5" t="s">
        <v>101</v>
      </c>
      <c r="F139" s="5"/>
    </row>
    <row r="140" spans="1:6" x14ac:dyDescent="0.25">
      <c r="A140" s="5" t="s">
        <v>102</v>
      </c>
      <c r="B140" s="5">
        <v>1</v>
      </c>
      <c r="C140" s="5" t="s">
        <v>103</v>
      </c>
      <c r="D140" s="5" t="s">
        <v>104</v>
      </c>
      <c r="E140" s="5" t="s">
        <v>105</v>
      </c>
      <c r="F140" s="5"/>
    </row>
    <row r="141" spans="1:6" x14ac:dyDescent="0.25">
      <c r="A141" s="5" t="s">
        <v>725</v>
      </c>
      <c r="B141" s="5">
        <v>1</v>
      </c>
      <c r="C141" s="5" t="s">
        <v>103</v>
      </c>
      <c r="D141" s="5" t="s">
        <v>104</v>
      </c>
      <c r="E141" s="5" t="s">
        <v>105</v>
      </c>
      <c r="F141" s="5"/>
    </row>
    <row r="142" spans="1:6" x14ac:dyDescent="0.25">
      <c r="A142" s="5" t="s">
        <v>106</v>
      </c>
      <c r="B142" s="5">
        <v>1</v>
      </c>
      <c r="C142" s="5" t="s">
        <v>107</v>
      </c>
      <c r="D142" s="5" t="s">
        <v>108</v>
      </c>
      <c r="E142" s="5" t="s">
        <v>109</v>
      </c>
      <c r="F142" s="5"/>
    </row>
    <row r="143" spans="1:6" x14ac:dyDescent="0.25">
      <c r="A143" s="5" t="s">
        <v>110</v>
      </c>
      <c r="B143" s="5">
        <v>1</v>
      </c>
      <c r="C143" s="5" t="s">
        <v>107</v>
      </c>
      <c r="D143" s="5" t="s">
        <v>108</v>
      </c>
      <c r="E143" s="5" t="s">
        <v>109</v>
      </c>
      <c r="F143" s="5"/>
    </row>
    <row r="144" spans="1:6" x14ac:dyDescent="0.25">
      <c r="A144" s="5" t="s">
        <v>111</v>
      </c>
      <c r="B144" s="5">
        <v>1</v>
      </c>
      <c r="C144" s="5" t="s">
        <v>112</v>
      </c>
      <c r="D144" s="5" t="s">
        <v>113</v>
      </c>
      <c r="E144" s="5" t="s">
        <v>114</v>
      </c>
      <c r="F144" s="5"/>
    </row>
    <row r="145" spans="1:6" x14ac:dyDescent="0.25">
      <c r="A145" s="5" t="s">
        <v>111</v>
      </c>
      <c r="B145" s="5">
        <v>1</v>
      </c>
      <c r="C145" s="5" t="s">
        <v>115</v>
      </c>
      <c r="D145" s="5" t="s">
        <v>116</v>
      </c>
      <c r="E145" s="5" t="s">
        <v>117</v>
      </c>
      <c r="F145" s="5"/>
    </row>
    <row r="146" spans="1:6" x14ac:dyDescent="0.25">
      <c r="A146" s="5" t="s">
        <v>726</v>
      </c>
      <c r="B146" s="5">
        <v>1</v>
      </c>
      <c r="C146" s="5" t="s">
        <v>112</v>
      </c>
      <c r="D146" s="5" t="s">
        <v>113</v>
      </c>
      <c r="E146" s="5" t="s">
        <v>114</v>
      </c>
      <c r="F146" s="5"/>
    </row>
    <row r="147" spans="1:6" x14ac:dyDescent="0.25">
      <c r="A147" s="5" t="s">
        <v>726</v>
      </c>
      <c r="B147" s="5">
        <v>1</v>
      </c>
      <c r="C147" s="5" t="s">
        <v>115</v>
      </c>
      <c r="D147" s="5" t="s">
        <v>116</v>
      </c>
      <c r="E147" s="5" t="s">
        <v>117</v>
      </c>
      <c r="F147" s="5"/>
    </row>
    <row r="148" spans="1:6" x14ac:dyDescent="0.25">
      <c r="A148" s="5" t="s">
        <v>727</v>
      </c>
      <c r="B148" s="5">
        <v>1</v>
      </c>
      <c r="C148" s="5" t="s">
        <v>118</v>
      </c>
      <c r="D148" s="5" t="s">
        <v>119</v>
      </c>
      <c r="E148" s="5" t="s">
        <v>120</v>
      </c>
      <c r="F148" s="5"/>
    </row>
    <row r="149" spans="1:6" x14ac:dyDescent="0.25">
      <c r="A149" s="5" t="s">
        <v>728</v>
      </c>
      <c r="B149" s="5">
        <v>1</v>
      </c>
      <c r="C149" s="5" t="s">
        <v>118</v>
      </c>
      <c r="D149" s="5" t="s">
        <v>119</v>
      </c>
      <c r="E149" s="5" t="s">
        <v>120</v>
      </c>
      <c r="F149" s="5"/>
    </row>
    <row r="150" spans="1:6" x14ac:dyDescent="0.25">
      <c r="A150" s="5" t="s">
        <v>1147</v>
      </c>
      <c r="B150" s="5">
        <v>1</v>
      </c>
      <c r="C150" s="5" t="s">
        <v>118</v>
      </c>
      <c r="D150" s="5" t="s">
        <v>119</v>
      </c>
      <c r="E150" s="5" t="s">
        <v>120</v>
      </c>
      <c r="F150" s="5"/>
    </row>
    <row r="151" spans="1:6" x14ac:dyDescent="0.25">
      <c r="A151" s="5" t="s">
        <v>1148</v>
      </c>
      <c r="B151" s="5">
        <v>1</v>
      </c>
      <c r="C151" s="5" t="s">
        <v>118</v>
      </c>
      <c r="D151" s="5" t="s">
        <v>119</v>
      </c>
      <c r="E151" s="5" t="s">
        <v>120</v>
      </c>
      <c r="F151" s="5"/>
    </row>
    <row r="152" spans="1:6" x14ac:dyDescent="0.25">
      <c r="A152" s="5" t="s">
        <v>121</v>
      </c>
      <c r="B152" s="5">
        <v>1</v>
      </c>
      <c r="C152" s="5" t="s">
        <v>118</v>
      </c>
      <c r="D152" s="5" t="s">
        <v>119</v>
      </c>
      <c r="E152" s="5" t="s">
        <v>120</v>
      </c>
      <c r="F152" s="5"/>
    </row>
    <row r="153" spans="1:6" x14ac:dyDescent="0.25">
      <c r="A153" s="5" t="s">
        <v>729</v>
      </c>
      <c r="B153" s="5">
        <v>1</v>
      </c>
      <c r="C153" s="5" t="s">
        <v>118</v>
      </c>
      <c r="D153" s="5" t="s">
        <v>119</v>
      </c>
      <c r="E153" s="5" t="s">
        <v>120</v>
      </c>
      <c r="F153" s="5"/>
    </row>
    <row r="154" spans="1:6" x14ac:dyDescent="0.25">
      <c r="A154" s="5" t="s">
        <v>125</v>
      </c>
      <c r="B154" s="5">
        <v>1</v>
      </c>
      <c r="C154" s="5" t="s">
        <v>126</v>
      </c>
      <c r="D154" s="5" t="s">
        <v>1043</v>
      </c>
      <c r="E154" s="5" t="s">
        <v>128</v>
      </c>
      <c r="F154" s="5"/>
    </row>
    <row r="155" spans="1:6" x14ac:dyDescent="0.25">
      <c r="A155" s="5" t="s">
        <v>125</v>
      </c>
      <c r="B155" s="5">
        <v>1</v>
      </c>
      <c r="C155" s="5" t="s">
        <v>122</v>
      </c>
      <c r="D155" s="5" t="s">
        <v>123</v>
      </c>
      <c r="E155" s="5" t="s">
        <v>124</v>
      </c>
      <c r="F155" s="5"/>
    </row>
    <row r="156" spans="1:6" x14ac:dyDescent="0.25">
      <c r="A156" s="5" t="s">
        <v>730</v>
      </c>
      <c r="B156" s="5">
        <v>1</v>
      </c>
      <c r="C156" s="5" t="s">
        <v>126</v>
      </c>
      <c r="D156" s="5" t="s">
        <v>1043</v>
      </c>
      <c r="E156" s="5" t="s">
        <v>128</v>
      </c>
      <c r="F156" s="5"/>
    </row>
    <row r="157" spans="1:6" x14ac:dyDescent="0.25">
      <c r="A157" s="5" t="s">
        <v>730</v>
      </c>
      <c r="B157" s="5">
        <v>1</v>
      </c>
      <c r="C157" s="5" t="s">
        <v>122</v>
      </c>
      <c r="D157" s="5" t="s">
        <v>123</v>
      </c>
      <c r="E157" s="5" t="s">
        <v>124</v>
      </c>
      <c r="F157" s="5"/>
    </row>
    <row r="158" spans="1:6" x14ac:dyDescent="0.25">
      <c r="A158" s="5" t="s">
        <v>129</v>
      </c>
      <c r="B158" s="5">
        <v>1</v>
      </c>
      <c r="C158" s="5" t="s">
        <v>139</v>
      </c>
      <c r="D158" s="5" t="s">
        <v>140</v>
      </c>
      <c r="E158" s="5" t="s">
        <v>141</v>
      </c>
      <c r="F158" s="5"/>
    </row>
    <row r="159" spans="1:6" x14ac:dyDescent="0.25">
      <c r="A159" s="5" t="s">
        <v>129</v>
      </c>
      <c r="B159" s="5">
        <v>1</v>
      </c>
      <c r="C159" s="5" t="s">
        <v>130</v>
      </c>
      <c r="D159" s="5" t="s">
        <v>131</v>
      </c>
      <c r="E159" s="5" t="s">
        <v>132</v>
      </c>
      <c r="F159" s="5"/>
    </row>
    <row r="160" spans="1:6" x14ac:dyDescent="0.25">
      <c r="A160" s="5" t="s">
        <v>129</v>
      </c>
      <c r="B160" s="5">
        <v>1</v>
      </c>
      <c r="C160" s="5" t="s">
        <v>133</v>
      </c>
      <c r="D160" s="5" t="s">
        <v>134</v>
      </c>
      <c r="E160" s="5" t="s">
        <v>135</v>
      </c>
      <c r="F160" s="5"/>
    </row>
    <row r="161" spans="1:6" x14ac:dyDescent="0.25">
      <c r="A161" s="5" t="s">
        <v>731</v>
      </c>
      <c r="B161" s="5">
        <v>1</v>
      </c>
      <c r="C161" s="5" t="s">
        <v>133</v>
      </c>
      <c r="D161" s="5" t="s">
        <v>134</v>
      </c>
      <c r="E161" s="5" t="s">
        <v>135</v>
      </c>
      <c r="F161" s="5"/>
    </row>
    <row r="162" spans="1:6" x14ac:dyDescent="0.25">
      <c r="A162" s="5" t="s">
        <v>731</v>
      </c>
      <c r="B162" s="5">
        <v>1</v>
      </c>
      <c r="C162" s="5" t="s">
        <v>130</v>
      </c>
      <c r="D162" s="5" t="s">
        <v>131</v>
      </c>
      <c r="E162" s="5" t="s">
        <v>132</v>
      </c>
      <c r="F162" s="5"/>
    </row>
    <row r="163" spans="1:6" x14ac:dyDescent="0.25">
      <c r="A163" s="5" t="s">
        <v>731</v>
      </c>
      <c r="B163" s="5">
        <v>1</v>
      </c>
      <c r="C163" s="5" t="s">
        <v>139</v>
      </c>
      <c r="D163" s="5" t="s">
        <v>140</v>
      </c>
      <c r="E163" s="5" t="s">
        <v>141</v>
      </c>
      <c r="F163" s="5"/>
    </row>
    <row r="164" spans="1:6" x14ac:dyDescent="0.25">
      <c r="A164" s="5" t="s">
        <v>142</v>
      </c>
      <c r="B164" s="5">
        <v>1</v>
      </c>
      <c r="C164" s="5" t="s">
        <v>19</v>
      </c>
      <c r="D164" s="5" t="s">
        <v>20</v>
      </c>
      <c r="E164" s="5" t="s">
        <v>1126</v>
      </c>
      <c r="F164" s="5"/>
    </row>
    <row r="165" spans="1:6" x14ac:dyDescent="0.25">
      <c r="A165" s="5" t="s">
        <v>732</v>
      </c>
      <c r="B165" s="5">
        <v>1</v>
      </c>
      <c r="C165" s="5" t="s">
        <v>19</v>
      </c>
      <c r="D165" s="5" t="s">
        <v>20</v>
      </c>
      <c r="E165" s="5" t="s">
        <v>1126</v>
      </c>
      <c r="F165" s="5"/>
    </row>
    <row r="166" spans="1:6" x14ac:dyDescent="0.25">
      <c r="A166" s="5" t="s">
        <v>1149</v>
      </c>
      <c r="B166" s="5">
        <v>1</v>
      </c>
      <c r="C166" s="5" t="s">
        <v>143</v>
      </c>
      <c r="D166" s="5" t="s">
        <v>733</v>
      </c>
      <c r="E166" s="5" t="s">
        <v>144</v>
      </c>
      <c r="F166" s="5"/>
    </row>
    <row r="167" spans="1:6" x14ac:dyDescent="0.25">
      <c r="A167" s="5" t="s">
        <v>1150</v>
      </c>
      <c r="B167" s="5">
        <v>1</v>
      </c>
      <c r="C167" s="5" t="s">
        <v>143</v>
      </c>
      <c r="D167" s="5" t="s">
        <v>733</v>
      </c>
      <c r="E167" s="5" t="s">
        <v>144</v>
      </c>
      <c r="F167" s="5"/>
    </row>
    <row r="168" spans="1:6" x14ac:dyDescent="0.25">
      <c r="A168" s="5" t="s">
        <v>145</v>
      </c>
      <c r="B168" s="5">
        <v>1</v>
      </c>
      <c r="C168" s="5" t="s">
        <v>146</v>
      </c>
      <c r="D168" s="5" t="s">
        <v>147</v>
      </c>
      <c r="E168" s="5" t="s">
        <v>148</v>
      </c>
      <c r="F168" s="5"/>
    </row>
    <row r="169" spans="1:6" x14ac:dyDescent="0.25">
      <c r="A169" s="5" t="s">
        <v>734</v>
      </c>
      <c r="B169" s="5">
        <v>1</v>
      </c>
      <c r="C169" s="5" t="s">
        <v>146</v>
      </c>
      <c r="D169" s="5" t="s">
        <v>147</v>
      </c>
      <c r="E169" s="5" t="s">
        <v>148</v>
      </c>
      <c r="F169" s="5"/>
    </row>
    <row r="170" spans="1:6" x14ac:dyDescent="0.25">
      <c r="A170" s="5" t="s">
        <v>149</v>
      </c>
      <c r="B170" s="5">
        <v>1</v>
      </c>
      <c r="C170" s="5" t="s">
        <v>153</v>
      </c>
      <c r="D170" s="5" t="s">
        <v>154</v>
      </c>
      <c r="E170" s="5" t="s">
        <v>155</v>
      </c>
      <c r="F170" s="5"/>
    </row>
    <row r="171" spans="1:6" x14ac:dyDescent="0.25">
      <c r="A171" s="5" t="s">
        <v>149</v>
      </c>
      <c r="B171" s="5">
        <v>1</v>
      </c>
      <c r="C171" s="5" t="s">
        <v>150</v>
      </c>
      <c r="D171" s="5" t="s">
        <v>151</v>
      </c>
      <c r="E171" s="5" t="s">
        <v>152</v>
      </c>
      <c r="F171" s="5"/>
    </row>
    <row r="172" spans="1:6" x14ac:dyDescent="0.25">
      <c r="A172" s="5" t="s">
        <v>735</v>
      </c>
      <c r="B172" s="5">
        <v>1</v>
      </c>
      <c r="C172" s="5" t="s">
        <v>153</v>
      </c>
      <c r="D172" s="5" t="s">
        <v>154</v>
      </c>
      <c r="E172" s="5" t="s">
        <v>155</v>
      </c>
      <c r="F172" s="5"/>
    </row>
    <row r="173" spans="1:6" x14ac:dyDescent="0.25">
      <c r="A173" s="5" t="s">
        <v>735</v>
      </c>
      <c r="B173" s="5">
        <v>1</v>
      </c>
      <c r="C173" s="5" t="s">
        <v>150</v>
      </c>
      <c r="D173" s="5" t="s">
        <v>151</v>
      </c>
      <c r="E173" s="5" t="s">
        <v>152</v>
      </c>
      <c r="F173" s="5"/>
    </row>
    <row r="174" spans="1:6" x14ac:dyDescent="0.25">
      <c r="A174" s="5" t="s">
        <v>736</v>
      </c>
      <c r="B174" s="5">
        <v>1</v>
      </c>
      <c r="C174" s="5" t="s">
        <v>118</v>
      </c>
      <c r="D174" s="5" t="s">
        <v>119</v>
      </c>
      <c r="E174" s="5" t="s">
        <v>120</v>
      </c>
      <c r="F174" s="5"/>
    </row>
    <row r="175" spans="1:6" x14ac:dyDescent="0.25">
      <c r="A175" s="5" t="s">
        <v>737</v>
      </c>
      <c r="B175" s="5">
        <v>1</v>
      </c>
      <c r="C175" s="5" t="s">
        <v>118</v>
      </c>
      <c r="D175" s="5" t="s">
        <v>119</v>
      </c>
      <c r="E175" s="5" t="s">
        <v>120</v>
      </c>
      <c r="F175" s="5"/>
    </row>
    <row r="176" spans="1:6" x14ac:dyDescent="0.25">
      <c r="A176" s="5" t="s">
        <v>156</v>
      </c>
      <c r="B176" s="5">
        <v>1</v>
      </c>
      <c r="C176" s="5" t="s">
        <v>57</v>
      </c>
      <c r="D176" s="5" t="s">
        <v>58</v>
      </c>
      <c r="E176" s="5" t="s">
        <v>59</v>
      </c>
      <c r="F176" s="5"/>
    </row>
    <row r="177" spans="1:6" x14ac:dyDescent="0.25">
      <c r="A177" s="5" t="s">
        <v>157</v>
      </c>
      <c r="B177" s="5">
        <v>1</v>
      </c>
      <c r="C177" s="5" t="s">
        <v>57</v>
      </c>
      <c r="D177" s="5" t="s">
        <v>58</v>
      </c>
      <c r="E177" s="5" t="s">
        <v>59</v>
      </c>
      <c r="F177" s="5"/>
    </row>
    <row r="178" spans="1:6" x14ac:dyDescent="0.25">
      <c r="A178" s="5" t="s">
        <v>161</v>
      </c>
      <c r="B178" s="5">
        <v>1</v>
      </c>
      <c r="C178" s="5" t="s">
        <v>158</v>
      </c>
      <c r="D178" s="5" t="s">
        <v>159</v>
      </c>
      <c r="E178" s="5" t="s">
        <v>160</v>
      </c>
      <c r="F178" s="5"/>
    </row>
    <row r="179" spans="1:6" x14ac:dyDescent="0.25">
      <c r="A179" s="5" t="s">
        <v>738</v>
      </c>
      <c r="B179" s="5">
        <v>1</v>
      </c>
      <c r="C179" s="5" t="s">
        <v>158</v>
      </c>
      <c r="D179" s="5" t="s">
        <v>159</v>
      </c>
      <c r="E179" s="5" t="s">
        <v>160</v>
      </c>
      <c r="F179" s="5"/>
    </row>
    <row r="180" spans="1:6" x14ac:dyDescent="0.25">
      <c r="A180" s="5" t="s">
        <v>162</v>
      </c>
      <c r="B180" s="5">
        <v>1</v>
      </c>
      <c r="C180" s="5" t="s">
        <v>146</v>
      </c>
      <c r="D180" s="5" t="s">
        <v>147</v>
      </c>
      <c r="E180" s="5" t="s">
        <v>148</v>
      </c>
      <c r="F180" s="5"/>
    </row>
    <row r="181" spans="1:6" x14ac:dyDescent="0.25">
      <c r="A181" s="5" t="s">
        <v>739</v>
      </c>
      <c r="B181" s="5">
        <v>1</v>
      </c>
      <c r="C181" s="5" t="s">
        <v>146</v>
      </c>
      <c r="D181" s="5" t="s">
        <v>147</v>
      </c>
      <c r="E181" s="5" t="s">
        <v>148</v>
      </c>
      <c r="F181" s="5"/>
    </row>
    <row r="182" spans="1:6" x14ac:dyDescent="0.25">
      <c r="A182" s="5" t="s">
        <v>163</v>
      </c>
      <c r="B182" s="5">
        <v>1</v>
      </c>
      <c r="C182" s="5" t="s">
        <v>107</v>
      </c>
      <c r="D182" s="5" t="s">
        <v>108</v>
      </c>
      <c r="E182" s="5" t="s">
        <v>109</v>
      </c>
      <c r="F182" s="5"/>
    </row>
    <row r="183" spans="1:6" x14ac:dyDescent="0.25">
      <c r="A183" s="5" t="s">
        <v>1151</v>
      </c>
      <c r="B183" s="5">
        <v>1</v>
      </c>
      <c r="C183" s="5" t="s">
        <v>107</v>
      </c>
      <c r="D183" s="5" t="s">
        <v>108</v>
      </c>
      <c r="E183" s="5" t="s">
        <v>109</v>
      </c>
      <c r="F183" s="5"/>
    </row>
    <row r="184" spans="1:6" x14ac:dyDescent="0.25">
      <c r="A184" s="5" t="s">
        <v>164</v>
      </c>
      <c r="B184" s="5">
        <v>1</v>
      </c>
      <c r="C184" s="5" t="s">
        <v>165</v>
      </c>
      <c r="D184" s="5" t="s">
        <v>166</v>
      </c>
      <c r="E184" s="5" t="s">
        <v>167</v>
      </c>
      <c r="F184" s="5"/>
    </row>
    <row r="185" spans="1:6" x14ac:dyDescent="0.25">
      <c r="A185" s="5" t="s">
        <v>740</v>
      </c>
      <c r="B185" s="5">
        <v>1</v>
      </c>
      <c r="C185" s="5" t="s">
        <v>165</v>
      </c>
      <c r="D185" s="5" t="s">
        <v>166</v>
      </c>
      <c r="E185" s="5" t="s">
        <v>167</v>
      </c>
      <c r="F185" s="5"/>
    </row>
    <row r="186" spans="1:6" x14ac:dyDescent="0.25">
      <c r="A186" s="5" t="s">
        <v>171</v>
      </c>
      <c r="B186" s="5">
        <v>1</v>
      </c>
      <c r="C186" s="5" t="s">
        <v>168</v>
      </c>
      <c r="D186" s="5" t="s">
        <v>169</v>
      </c>
      <c r="E186" s="5" t="s">
        <v>170</v>
      </c>
      <c r="F186" s="5"/>
    </row>
    <row r="187" spans="1:6" x14ac:dyDescent="0.25">
      <c r="A187" s="5" t="s">
        <v>741</v>
      </c>
      <c r="B187" s="5">
        <v>1</v>
      </c>
      <c r="C187" s="5" t="s">
        <v>168</v>
      </c>
      <c r="D187" s="5" t="s">
        <v>169</v>
      </c>
      <c r="E187" s="5" t="s">
        <v>170</v>
      </c>
      <c r="F187" s="5"/>
    </row>
    <row r="188" spans="1:6" x14ac:dyDescent="0.25">
      <c r="A188" s="5" t="s">
        <v>172</v>
      </c>
      <c r="B188" s="5">
        <v>1</v>
      </c>
      <c r="C188" s="5" t="s">
        <v>107</v>
      </c>
      <c r="D188" s="5" t="s">
        <v>108</v>
      </c>
      <c r="E188" s="5" t="s">
        <v>109</v>
      </c>
      <c r="F188" s="5"/>
    </row>
    <row r="189" spans="1:6" x14ac:dyDescent="0.25">
      <c r="A189" s="5" t="s">
        <v>173</v>
      </c>
      <c r="B189" s="5">
        <v>1</v>
      </c>
      <c r="C189" s="5" t="s">
        <v>107</v>
      </c>
      <c r="D189" s="5" t="s">
        <v>108</v>
      </c>
      <c r="E189" s="5" t="s">
        <v>109</v>
      </c>
      <c r="F189" s="5"/>
    </row>
    <row r="190" spans="1:6" x14ac:dyDescent="0.25">
      <c r="A190" s="5" t="s">
        <v>174</v>
      </c>
      <c r="B190" s="5">
        <v>1</v>
      </c>
      <c r="C190" s="5" t="s">
        <v>107</v>
      </c>
      <c r="D190" s="5" t="s">
        <v>108</v>
      </c>
      <c r="E190" s="5" t="s">
        <v>109</v>
      </c>
      <c r="F190" s="5"/>
    </row>
    <row r="191" spans="1:6" x14ac:dyDescent="0.25">
      <c r="A191" s="5" t="s">
        <v>175</v>
      </c>
      <c r="B191" s="5">
        <v>1</v>
      </c>
      <c r="C191" s="5" t="s">
        <v>107</v>
      </c>
      <c r="D191" s="5" t="s">
        <v>108</v>
      </c>
      <c r="E191" s="5" t="s">
        <v>109</v>
      </c>
      <c r="F191" s="5"/>
    </row>
    <row r="192" spans="1:6" x14ac:dyDescent="0.25">
      <c r="A192" s="5" t="s">
        <v>176</v>
      </c>
      <c r="B192" s="5">
        <v>1</v>
      </c>
      <c r="C192" s="5" t="s">
        <v>177</v>
      </c>
      <c r="D192" s="5" t="s">
        <v>178</v>
      </c>
      <c r="E192" s="5" t="s">
        <v>179</v>
      </c>
      <c r="F192" s="5"/>
    </row>
    <row r="193" spans="1:6" x14ac:dyDescent="0.25">
      <c r="A193" s="5" t="s">
        <v>742</v>
      </c>
      <c r="B193" s="5">
        <v>1</v>
      </c>
      <c r="C193" s="5" t="s">
        <v>177</v>
      </c>
      <c r="D193" s="5" t="s">
        <v>178</v>
      </c>
      <c r="E193" s="5" t="s">
        <v>179</v>
      </c>
      <c r="F193" s="5"/>
    </row>
    <row r="194" spans="1:6" x14ac:dyDescent="0.25">
      <c r="A194" s="5" t="s">
        <v>180</v>
      </c>
      <c r="B194" s="5">
        <v>1</v>
      </c>
      <c r="C194" s="5" t="s">
        <v>181</v>
      </c>
      <c r="D194" s="5" t="s">
        <v>182</v>
      </c>
      <c r="E194" s="5" t="s">
        <v>183</v>
      </c>
      <c r="F194" s="5"/>
    </row>
    <row r="195" spans="1:6" x14ac:dyDescent="0.25">
      <c r="A195" s="5" t="s">
        <v>1152</v>
      </c>
      <c r="B195" s="5">
        <v>1</v>
      </c>
      <c r="C195" s="5" t="s">
        <v>181</v>
      </c>
      <c r="D195" s="5" t="s">
        <v>182</v>
      </c>
      <c r="E195" s="5" t="s">
        <v>183</v>
      </c>
      <c r="F195" s="5"/>
    </row>
    <row r="196" spans="1:6" x14ac:dyDescent="0.25">
      <c r="A196" s="5" t="s">
        <v>743</v>
      </c>
      <c r="B196" s="5">
        <v>1</v>
      </c>
      <c r="C196" s="5" t="s">
        <v>184</v>
      </c>
      <c r="D196" s="5" t="s">
        <v>185</v>
      </c>
      <c r="E196" s="5" t="s">
        <v>186</v>
      </c>
      <c r="F196" s="5"/>
    </row>
    <row r="197" spans="1:6" x14ac:dyDescent="0.25">
      <c r="A197" s="5" t="s">
        <v>744</v>
      </c>
      <c r="B197" s="5">
        <v>1</v>
      </c>
      <c r="C197" s="5" t="s">
        <v>184</v>
      </c>
      <c r="D197" s="5" t="s">
        <v>185</v>
      </c>
      <c r="E197" s="5" t="s">
        <v>186</v>
      </c>
      <c r="F197" s="5"/>
    </row>
    <row r="198" spans="1:6" x14ac:dyDescent="0.25">
      <c r="A198" s="5" t="s">
        <v>745</v>
      </c>
      <c r="B198" s="5">
        <v>1</v>
      </c>
      <c r="C198" s="5" t="s">
        <v>184</v>
      </c>
      <c r="D198" s="5" t="s">
        <v>185</v>
      </c>
      <c r="E198" s="5" t="s">
        <v>186</v>
      </c>
      <c r="F198" s="5"/>
    </row>
    <row r="199" spans="1:6" x14ac:dyDescent="0.25">
      <c r="A199" s="5" t="s">
        <v>746</v>
      </c>
      <c r="B199" s="5">
        <v>1</v>
      </c>
      <c r="C199" s="5" t="s">
        <v>184</v>
      </c>
      <c r="D199" s="5" t="s">
        <v>185</v>
      </c>
      <c r="E199" s="5" t="s">
        <v>186</v>
      </c>
      <c r="F199" s="5"/>
    </row>
    <row r="200" spans="1:6" x14ac:dyDescent="0.25">
      <c r="A200" s="5" t="s">
        <v>1153</v>
      </c>
      <c r="B200" s="5">
        <v>1</v>
      </c>
      <c r="C200" s="5" t="s">
        <v>703</v>
      </c>
      <c r="D200" s="5" t="s">
        <v>793</v>
      </c>
      <c r="E200" s="5" t="s">
        <v>21</v>
      </c>
      <c r="F200" s="5"/>
    </row>
    <row r="201" spans="1:6" x14ac:dyDescent="0.25">
      <c r="A201" s="5" t="s">
        <v>1154</v>
      </c>
      <c r="B201" s="5">
        <v>1</v>
      </c>
      <c r="C201" s="5" t="s">
        <v>703</v>
      </c>
      <c r="D201" s="5" t="s">
        <v>793</v>
      </c>
      <c r="E201" s="5" t="s">
        <v>21</v>
      </c>
      <c r="F201" s="5"/>
    </row>
    <row r="202" spans="1:6" x14ac:dyDescent="0.25">
      <c r="A202" s="5" t="s">
        <v>187</v>
      </c>
      <c r="B202" s="5">
        <v>1</v>
      </c>
      <c r="C202" s="5" t="s">
        <v>103</v>
      </c>
      <c r="D202" s="5" t="s">
        <v>104</v>
      </c>
      <c r="E202" s="5" t="s">
        <v>105</v>
      </c>
      <c r="F202" s="5"/>
    </row>
    <row r="203" spans="1:6" x14ac:dyDescent="0.25">
      <c r="A203" s="5" t="s">
        <v>187</v>
      </c>
      <c r="B203" s="5">
        <v>1</v>
      </c>
      <c r="C203" s="5" t="s">
        <v>67</v>
      </c>
      <c r="D203" s="5" t="s">
        <v>1074</v>
      </c>
      <c r="E203" s="5" t="s">
        <v>69</v>
      </c>
      <c r="F203" s="5"/>
    </row>
    <row r="204" spans="1:6" x14ac:dyDescent="0.25">
      <c r="A204" s="5" t="s">
        <v>187</v>
      </c>
      <c r="B204" s="5">
        <v>1</v>
      </c>
      <c r="C204" s="5" t="s">
        <v>188</v>
      </c>
      <c r="D204" s="5" t="s">
        <v>1071</v>
      </c>
      <c r="E204" s="5" t="s">
        <v>190</v>
      </c>
      <c r="F204" s="5"/>
    </row>
    <row r="205" spans="1:6" x14ac:dyDescent="0.25">
      <c r="A205" s="5" t="s">
        <v>191</v>
      </c>
      <c r="B205" s="5">
        <v>1</v>
      </c>
      <c r="C205" s="5" t="s">
        <v>67</v>
      </c>
      <c r="D205" s="5" t="s">
        <v>1074</v>
      </c>
      <c r="E205" s="5" t="s">
        <v>69</v>
      </c>
      <c r="F205" s="5"/>
    </row>
    <row r="206" spans="1:6" x14ac:dyDescent="0.25">
      <c r="A206" s="5" t="s">
        <v>191</v>
      </c>
      <c r="B206" s="5">
        <v>1</v>
      </c>
      <c r="C206" s="5" t="s">
        <v>188</v>
      </c>
      <c r="D206" s="5" t="s">
        <v>1071</v>
      </c>
      <c r="E206" s="5" t="s">
        <v>190</v>
      </c>
      <c r="F206" s="5"/>
    </row>
    <row r="207" spans="1:6" x14ac:dyDescent="0.25">
      <c r="A207" s="5" t="s">
        <v>747</v>
      </c>
      <c r="B207" s="5">
        <v>1</v>
      </c>
      <c r="C207" s="5" t="s">
        <v>103</v>
      </c>
      <c r="D207" s="5" t="s">
        <v>104</v>
      </c>
      <c r="E207" s="5" t="s">
        <v>105</v>
      </c>
      <c r="F207" s="5"/>
    </row>
    <row r="208" spans="1:6" x14ac:dyDescent="0.25">
      <c r="A208" s="5" t="s">
        <v>747</v>
      </c>
      <c r="B208" s="5">
        <v>1</v>
      </c>
      <c r="C208" s="5" t="s">
        <v>188</v>
      </c>
      <c r="D208" s="5" t="s">
        <v>1071</v>
      </c>
      <c r="E208" s="5" t="s">
        <v>190</v>
      </c>
      <c r="F208" s="5"/>
    </row>
    <row r="209" spans="1:6" x14ac:dyDescent="0.25">
      <c r="A209" s="5" t="s">
        <v>747</v>
      </c>
      <c r="B209" s="5">
        <v>1</v>
      </c>
      <c r="C209" s="5" t="s">
        <v>67</v>
      </c>
      <c r="D209" s="5" t="s">
        <v>1074</v>
      </c>
      <c r="E209" s="5" t="s">
        <v>69</v>
      </c>
      <c r="F209" s="5"/>
    </row>
    <row r="210" spans="1:6" x14ac:dyDescent="0.25">
      <c r="A210" s="5" t="s">
        <v>748</v>
      </c>
      <c r="B210" s="5">
        <v>1</v>
      </c>
      <c r="C210" s="5" t="s">
        <v>67</v>
      </c>
      <c r="D210" s="5" t="s">
        <v>1074</v>
      </c>
      <c r="E210" s="5" t="s">
        <v>69</v>
      </c>
      <c r="F210" s="5"/>
    </row>
    <row r="211" spans="1:6" x14ac:dyDescent="0.25">
      <c r="A211" s="5" t="s">
        <v>748</v>
      </c>
      <c r="B211" s="5">
        <v>1</v>
      </c>
      <c r="C211" s="5" t="s">
        <v>188</v>
      </c>
      <c r="D211" s="5" t="s">
        <v>1071</v>
      </c>
      <c r="E211" s="5" t="s">
        <v>190</v>
      </c>
      <c r="F211" s="5"/>
    </row>
    <row r="212" spans="1:6" x14ac:dyDescent="0.25">
      <c r="A212" s="5" t="s">
        <v>192</v>
      </c>
      <c r="B212" s="5">
        <v>1</v>
      </c>
      <c r="C212" s="5" t="s">
        <v>193</v>
      </c>
      <c r="D212" s="5" t="s">
        <v>194</v>
      </c>
      <c r="E212" s="5" t="s">
        <v>195</v>
      </c>
      <c r="F212" s="5"/>
    </row>
    <row r="213" spans="1:6" x14ac:dyDescent="0.25">
      <c r="A213" s="5" t="s">
        <v>749</v>
      </c>
      <c r="B213" s="5">
        <v>1</v>
      </c>
      <c r="C213" s="5" t="s">
        <v>193</v>
      </c>
      <c r="D213" s="5" t="s">
        <v>194</v>
      </c>
      <c r="E213" s="5" t="s">
        <v>195</v>
      </c>
      <c r="F213" s="5"/>
    </row>
    <row r="214" spans="1:6" x14ac:dyDescent="0.25">
      <c r="A214" s="5" t="s">
        <v>196</v>
      </c>
      <c r="B214" s="5">
        <v>1</v>
      </c>
      <c r="C214" s="5" t="s">
        <v>146</v>
      </c>
      <c r="D214" s="5" t="s">
        <v>147</v>
      </c>
      <c r="E214" s="5" t="s">
        <v>148</v>
      </c>
      <c r="F214" s="5"/>
    </row>
    <row r="215" spans="1:6" x14ac:dyDescent="0.25">
      <c r="A215" s="5" t="s">
        <v>197</v>
      </c>
      <c r="B215" s="5">
        <v>1</v>
      </c>
      <c r="C215" s="5" t="s">
        <v>198</v>
      </c>
      <c r="D215" s="5" t="s">
        <v>907</v>
      </c>
      <c r="E215" s="5" t="s">
        <v>199</v>
      </c>
      <c r="F215" s="5"/>
    </row>
    <row r="216" spans="1:6" x14ac:dyDescent="0.25">
      <c r="A216" s="5" t="s">
        <v>200</v>
      </c>
      <c r="B216" s="5">
        <v>1</v>
      </c>
      <c r="C216" s="5" t="s">
        <v>107</v>
      </c>
      <c r="D216" s="5" t="s">
        <v>108</v>
      </c>
      <c r="E216" s="5" t="s">
        <v>109</v>
      </c>
      <c r="F216" s="5"/>
    </row>
    <row r="217" spans="1:6" x14ac:dyDescent="0.25">
      <c r="A217" s="5" t="s">
        <v>200</v>
      </c>
      <c r="B217" s="5">
        <v>1</v>
      </c>
      <c r="C217" s="5" t="s">
        <v>198</v>
      </c>
      <c r="D217" s="5" t="s">
        <v>907</v>
      </c>
      <c r="E217" s="5" t="s">
        <v>199</v>
      </c>
      <c r="F217" s="5"/>
    </row>
    <row r="218" spans="1:6" x14ac:dyDescent="0.25">
      <c r="A218" s="5" t="s">
        <v>201</v>
      </c>
      <c r="B218" s="5">
        <v>1</v>
      </c>
      <c r="C218" s="5" t="s">
        <v>107</v>
      </c>
      <c r="D218" s="5" t="s">
        <v>108</v>
      </c>
      <c r="E218" s="5" t="s">
        <v>109</v>
      </c>
      <c r="F218" s="5"/>
    </row>
    <row r="219" spans="1:6" x14ac:dyDescent="0.25">
      <c r="A219" s="5" t="s">
        <v>202</v>
      </c>
      <c r="B219" s="5">
        <v>1</v>
      </c>
      <c r="C219" s="5" t="s">
        <v>203</v>
      </c>
      <c r="D219" s="5" t="s">
        <v>204</v>
      </c>
      <c r="E219" s="5" t="s">
        <v>205</v>
      </c>
      <c r="F219" s="5"/>
    </row>
    <row r="220" spans="1:6" x14ac:dyDescent="0.25">
      <c r="A220" s="5" t="s">
        <v>206</v>
      </c>
      <c r="B220" s="5">
        <v>1</v>
      </c>
      <c r="C220" s="5" t="s">
        <v>203</v>
      </c>
      <c r="D220" s="5" t="s">
        <v>204</v>
      </c>
      <c r="E220" s="5" t="s">
        <v>205</v>
      </c>
      <c r="F220" s="5"/>
    </row>
    <row r="221" spans="1:6" x14ac:dyDescent="0.25">
      <c r="A221" s="5" t="s">
        <v>207</v>
      </c>
      <c r="B221" s="5">
        <v>1</v>
      </c>
      <c r="C221" s="5" t="s">
        <v>203</v>
      </c>
      <c r="D221" s="5" t="s">
        <v>204</v>
      </c>
      <c r="E221" s="5" t="s">
        <v>205</v>
      </c>
      <c r="F221" s="5"/>
    </row>
    <row r="222" spans="1:6" x14ac:dyDescent="0.25">
      <c r="A222" s="5" t="s">
        <v>208</v>
      </c>
      <c r="B222" s="5">
        <v>1</v>
      </c>
      <c r="C222" s="5" t="s">
        <v>22</v>
      </c>
      <c r="D222" s="5" t="s">
        <v>23</v>
      </c>
      <c r="E222" s="5" t="s">
        <v>24</v>
      </c>
      <c r="F222" s="5"/>
    </row>
    <row r="223" spans="1:6" x14ac:dyDescent="0.25">
      <c r="A223" s="5" t="s">
        <v>208</v>
      </c>
      <c r="B223" s="5">
        <v>1</v>
      </c>
      <c r="C223" s="5" t="s">
        <v>914</v>
      </c>
      <c r="D223" s="5" t="s">
        <v>25</v>
      </c>
      <c r="E223" s="5" t="s">
        <v>26</v>
      </c>
      <c r="F223" s="5"/>
    </row>
    <row r="224" spans="1:6" x14ac:dyDescent="0.25">
      <c r="A224" s="5" t="s">
        <v>209</v>
      </c>
      <c r="B224" s="5">
        <v>1</v>
      </c>
      <c r="C224" s="5" t="s">
        <v>914</v>
      </c>
      <c r="D224" s="5" t="s">
        <v>25</v>
      </c>
      <c r="E224" s="5" t="s">
        <v>26</v>
      </c>
      <c r="F224" s="5"/>
    </row>
    <row r="225" spans="1:6" x14ac:dyDescent="0.25">
      <c r="A225" s="5" t="s">
        <v>209</v>
      </c>
      <c r="B225" s="5">
        <v>1</v>
      </c>
      <c r="C225" s="5" t="s">
        <v>22</v>
      </c>
      <c r="D225" s="5" t="s">
        <v>23</v>
      </c>
      <c r="E225" s="5" t="s">
        <v>24</v>
      </c>
      <c r="F225" s="5"/>
    </row>
    <row r="226" spans="1:6" x14ac:dyDescent="0.25">
      <c r="A226" s="5" t="s">
        <v>210</v>
      </c>
      <c r="B226" s="5">
        <v>1</v>
      </c>
      <c r="C226" s="5" t="s">
        <v>22</v>
      </c>
      <c r="D226" s="5" t="s">
        <v>23</v>
      </c>
      <c r="E226" s="5" t="s">
        <v>24</v>
      </c>
      <c r="F226" s="5"/>
    </row>
    <row r="227" spans="1:6" x14ac:dyDescent="0.25">
      <c r="A227" s="5" t="s">
        <v>210</v>
      </c>
      <c r="B227" s="5">
        <v>1</v>
      </c>
      <c r="C227" s="5" t="s">
        <v>914</v>
      </c>
      <c r="D227" s="5" t="s">
        <v>25</v>
      </c>
      <c r="E227" s="5" t="s">
        <v>26</v>
      </c>
      <c r="F227" s="5"/>
    </row>
    <row r="228" spans="1:6" x14ac:dyDescent="0.25">
      <c r="A228" s="5" t="s">
        <v>211</v>
      </c>
      <c r="B228" s="5">
        <v>1</v>
      </c>
      <c r="C228" s="5" t="s">
        <v>914</v>
      </c>
      <c r="D228" s="5" t="s">
        <v>25</v>
      </c>
      <c r="E228" s="5" t="s">
        <v>26</v>
      </c>
      <c r="F228" s="5"/>
    </row>
    <row r="229" spans="1:6" x14ac:dyDescent="0.25">
      <c r="A229" s="5" t="s">
        <v>211</v>
      </c>
      <c r="B229" s="5">
        <v>1</v>
      </c>
      <c r="C229" s="5" t="s">
        <v>22</v>
      </c>
      <c r="D229" s="5" t="s">
        <v>23</v>
      </c>
      <c r="E229" s="5" t="s">
        <v>24</v>
      </c>
      <c r="F229" s="5"/>
    </row>
    <row r="230" spans="1:6" x14ac:dyDescent="0.25">
      <c r="A230" s="5" t="s">
        <v>212</v>
      </c>
      <c r="B230" s="5">
        <v>1</v>
      </c>
      <c r="C230" s="5" t="s">
        <v>37</v>
      </c>
      <c r="D230" s="5" t="s">
        <v>38</v>
      </c>
      <c r="E230" s="5" t="s">
        <v>39</v>
      </c>
      <c r="F230" s="5"/>
    </row>
    <row r="231" spans="1:6" x14ac:dyDescent="0.25">
      <c r="A231" s="5" t="s">
        <v>213</v>
      </c>
      <c r="B231" s="5">
        <v>1</v>
      </c>
      <c r="C231" s="5" t="s">
        <v>57</v>
      </c>
      <c r="D231" s="5" t="s">
        <v>58</v>
      </c>
      <c r="E231" s="5" t="s">
        <v>59</v>
      </c>
      <c r="F231" s="5"/>
    </row>
    <row r="232" spans="1:6" x14ac:dyDescent="0.25">
      <c r="A232" s="5" t="s">
        <v>214</v>
      </c>
      <c r="B232" s="5">
        <v>1</v>
      </c>
      <c r="C232" s="5" t="s">
        <v>218</v>
      </c>
      <c r="D232" s="5" t="s">
        <v>219</v>
      </c>
      <c r="E232" s="5" t="s">
        <v>220</v>
      </c>
      <c r="F232" s="5"/>
    </row>
    <row r="233" spans="1:6" x14ac:dyDescent="0.25">
      <c r="A233" s="5" t="s">
        <v>214</v>
      </c>
      <c r="B233" s="5">
        <v>1</v>
      </c>
      <c r="C233" s="5" t="s">
        <v>215</v>
      </c>
      <c r="D233" s="5" t="s">
        <v>1054</v>
      </c>
      <c r="E233" s="5" t="s">
        <v>217</v>
      </c>
      <c r="F233" s="5"/>
    </row>
    <row r="234" spans="1:6" x14ac:dyDescent="0.25">
      <c r="A234" s="5" t="s">
        <v>221</v>
      </c>
      <c r="B234" s="5">
        <v>1</v>
      </c>
      <c r="C234" s="5" t="s">
        <v>222</v>
      </c>
      <c r="D234" s="5" t="s">
        <v>223</v>
      </c>
      <c r="E234" s="5" t="s">
        <v>224</v>
      </c>
      <c r="F234" s="5"/>
    </row>
    <row r="235" spans="1:6" x14ac:dyDescent="0.25">
      <c r="A235" s="5" t="s">
        <v>225</v>
      </c>
      <c r="B235" s="5">
        <v>1</v>
      </c>
      <c r="C235" s="5" t="s">
        <v>222</v>
      </c>
      <c r="D235" s="5" t="s">
        <v>223</v>
      </c>
      <c r="E235" s="5" t="s">
        <v>224</v>
      </c>
      <c r="F235" s="5"/>
    </row>
    <row r="236" spans="1:6" x14ac:dyDescent="0.25">
      <c r="A236" s="5" t="s">
        <v>226</v>
      </c>
      <c r="B236" s="5">
        <v>1</v>
      </c>
      <c r="C236" s="5" t="s">
        <v>158</v>
      </c>
      <c r="D236" s="5" t="s">
        <v>159</v>
      </c>
      <c r="E236" s="5" t="s">
        <v>160</v>
      </c>
      <c r="F236" s="5"/>
    </row>
    <row r="237" spans="1:6" x14ac:dyDescent="0.25">
      <c r="A237" s="5" t="s">
        <v>750</v>
      </c>
      <c r="B237" s="5">
        <v>1</v>
      </c>
      <c r="C237" s="5" t="s">
        <v>158</v>
      </c>
      <c r="D237" s="5" t="s">
        <v>159</v>
      </c>
      <c r="E237" s="5" t="s">
        <v>160</v>
      </c>
      <c r="F237" s="5"/>
    </row>
    <row r="238" spans="1:6" x14ac:dyDescent="0.25">
      <c r="A238" s="5" t="s">
        <v>227</v>
      </c>
      <c r="B238" s="5">
        <v>1</v>
      </c>
      <c r="C238" s="5" t="s">
        <v>228</v>
      </c>
      <c r="D238" s="5" t="s">
        <v>229</v>
      </c>
      <c r="E238" s="5" t="s">
        <v>230</v>
      </c>
      <c r="F238" s="5"/>
    </row>
    <row r="239" spans="1:6" x14ac:dyDescent="0.25">
      <c r="A239" s="5" t="s">
        <v>231</v>
      </c>
      <c r="B239" s="5">
        <v>1</v>
      </c>
      <c r="C239" s="5" t="s">
        <v>231</v>
      </c>
      <c r="D239" s="5" t="s">
        <v>232</v>
      </c>
      <c r="E239" s="5" t="s">
        <v>233</v>
      </c>
      <c r="F239" s="5"/>
    </row>
    <row r="240" spans="1:6" x14ac:dyDescent="0.25">
      <c r="A240" s="5" t="s">
        <v>235</v>
      </c>
      <c r="B240" s="5">
        <v>1</v>
      </c>
      <c r="C240" s="5" t="s">
        <v>198</v>
      </c>
      <c r="D240" s="5" t="s">
        <v>907</v>
      </c>
      <c r="E240" s="5" t="s">
        <v>199</v>
      </c>
      <c r="F240" s="5"/>
    </row>
    <row r="241" spans="1:6" x14ac:dyDescent="0.25">
      <c r="A241" s="5" t="s">
        <v>236</v>
      </c>
      <c r="B241" s="5">
        <v>1</v>
      </c>
      <c r="C241" s="5" t="s">
        <v>198</v>
      </c>
      <c r="D241" s="5" t="s">
        <v>907</v>
      </c>
      <c r="E241" s="5" t="s">
        <v>199</v>
      </c>
      <c r="F241" s="5"/>
    </row>
    <row r="242" spans="1:6" x14ac:dyDescent="0.25">
      <c r="A242" s="5" t="s">
        <v>237</v>
      </c>
      <c r="B242" s="5">
        <v>1</v>
      </c>
      <c r="C242" s="5" t="s">
        <v>198</v>
      </c>
      <c r="D242" s="5" t="s">
        <v>907</v>
      </c>
      <c r="E242" s="5" t="s">
        <v>199</v>
      </c>
      <c r="F242" s="5"/>
    </row>
    <row r="243" spans="1:6" x14ac:dyDescent="0.25">
      <c r="A243" s="5" t="s">
        <v>238</v>
      </c>
      <c r="B243" s="5">
        <v>1</v>
      </c>
      <c r="C243" s="5" t="s">
        <v>239</v>
      </c>
      <c r="D243" s="5" t="s">
        <v>240</v>
      </c>
      <c r="E243" s="5" t="s">
        <v>241</v>
      </c>
      <c r="F243" s="5"/>
    </row>
    <row r="244" spans="1:6" x14ac:dyDescent="0.25">
      <c r="A244" s="5" t="s">
        <v>245</v>
      </c>
      <c r="B244" s="5">
        <v>1</v>
      </c>
      <c r="C244" s="5" t="s">
        <v>37</v>
      </c>
      <c r="D244" s="5" t="s">
        <v>38</v>
      </c>
      <c r="E244" s="5" t="s">
        <v>39</v>
      </c>
      <c r="F244" s="5"/>
    </row>
    <row r="245" spans="1:6" x14ac:dyDescent="0.25">
      <c r="A245" s="5" t="s">
        <v>1155</v>
      </c>
      <c r="B245" s="5">
        <v>1</v>
      </c>
      <c r="C245" s="5" t="s">
        <v>246</v>
      </c>
      <c r="D245" s="5" t="s">
        <v>751</v>
      </c>
      <c r="E245" s="5" t="s">
        <v>247</v>
      </c>
      <c r="F245" s="5"/>
    </row>
    <row r="246" spans="1:6" x14ac:dyDescent="0.25">
      <c r="A246" s="5" t="s">
        <v>1156</v>
      </c>
      <c r="B246" s="5">
        <v>1</v>
      </c>
      <c r="C246" s="5" t="s">
        <v>246</v>
      </c>
      <c r="D246" s="5" t="s">
        <v>751</v>
      </c>
      <c r="E246" s="5" t="s">
        <v>247</v>
      </c>
      <c r="F246" s="5"/>
    </row>
    <row r="247" spans="1:6" x14ac:dyDescent="0.25">
      <c r="A247" s="5" t="s">
        <v>1157</v>
      </c>
      <c r="B247" s="5">
        <v>1</v>
      </c>
      <c r="C247" s="5" t="s">
        <v>246</v>
      </c>
      <c r="D247" s="5" t="s">
        <v>751</v>
      </c>
      <c r="E247" s="5" t="s">
        <v>247</v>
      </c>
      <c r="F247" s="5"/>
    </row>
    <row r="248" spans="1:6" x14ac:dyDescent="0.25">
      <c r="A248" s="5" t="s">
        <v>1158</v>
      </c>
      <c r="B248" s="5">
        <v>1</v>
      </c>
      <c r="C248" s="5" t="s">
        <v>246</v>
      </c>
      <c r="D248" s="5" t="s">
        <v>751</v>
      </c>
      <c r="E248" s="5" t="s">
        <v>247</v>
      </c>
      <c r="F248" s="5"/>
    </row>
    <row r="249" spans="1:6" x14ac:dyDescent="0.25">
      <c r="A249" s="5" t="s">
        <v>248</v>
      </c>
      <c r="B249" s="5">
        <v>1</v>
      </c>
      <c r="C249" s="5" t="s">
        <v>249</v>
      </c>
      <c r="D249" s="5" t="s">
        <v>1030</v>
      </c>
      <c r="E249" s="5" t="s">
        <v>251</v>
      </c>
      <c r="F249" s="5"/>
    </row>
    <row r="250" spans="1:6" x14ac:dyDescent="0.25">
      <c r="A250" s="5" t="s">
        <v>248</v>
      </c>
      <c r="B250" s="5">
        <v>1</v>
      </c>
      <c r="C250" s="5" t="s">
        <v>184</v>
      </c>
      <c r="D250" s="5" t="s">
        <v>185</v>
      </c>
      <c r="E250" s="5" t="s">
        <v>186</v>
      </c>
      <c r="F250" s="5"/>
    </row>
    <row r="251" spans="1:6" x14ac:dyDescent="0.25">
      <c r="A251" s="5" t="s">
        <v>252</v>
      </c>
      <c r="B251" s="5">
        <v>1</v>
      </c>
      <c r="C251" s="5" t="s">
        <v>253</v>
      </c>
      <c r="D251" s="5" t="s">
        <v>254</v>
      </c>
      <c r="E251" s="5" t="s">
        <v>255</v>
      </c>
      <c r="F251" s="5"/>
    </row>
    <row r="252" spans="1:6" x14ac:dyDescent="0.25">
      <c r="A252" s="5" t="s">
        <v>256</v>
      </c>
      <c r="B252" s="5">
        <v>1</v>
      </c>
      <c r="C252" s="5" t="s">
        <v>257</v>
      </c>
      <c r="D252" s="5" t="s">
        <v>258</v>
      </c>
      <c r="E252" s="5" t="s">
        <v>259</v>
      </c>
      <c r="F252" s="5"/>
    </row>
    <row r="253" spans="1:6" x14ac:dyDescent="0.25">
      <c r="A253" s="5" t="s">
        <v>260</v>
      </c>
      <c r="B253" s="5">
        <v>1</v>
      </c>
      <c r="C253" s="5" t="s">
        <v>203</v>
      </c>
      <c r="D253" s="5" t="s">
        <v>204</v>
      </c>
      <c r="E253" s="5" t="s">
        <v>205</v>
      </c>
      <c r="F253" s="5"/>
    </row>
    <row r="254" spans="1:6" x14ac:dyDescent="0.25">
      <c r="A254" s="5" t="s">
        <v>261</v>
      </c>
      <c r="B254" s="5">
        <v>1</v>
      </c>
      <c r="C254" s="5" t="s">
        <v>203</v>
      </c>
      <c r="D254" s="5" t="s">
        <v>204</v>
      </c>
      <c r="E254" s="5" t="s">
        <v>205</v>
      </c>
      <c r="F254" s="5"/>
    </row>
    <row r="255" spans="1:6" x14ac:dyDescent="0.25">
      <c r="A255" s="5" t="s">
        <v>262</v>
      </c>
      <c r="B255" s="5">
        <v>1</v>
      </c>
      <c r="C255" s="5" t="s">
        <v>263</v>
      </c>
      <c r="D255" s="5" t="s">
        <v>264</v>
      </c>
      <c r="E255" s="5" t="s">
        <v>265</v>
      </c>
      <c r="F255" s="5"/>
    </row>
    <row r="256" spans="1:6" x14ac:dyDescent="0.25">
      <c r="A256" s="5" t="s">
        <v>266</v>
      </c>
      <c r="B256" s="5">
        <v>1</v>
      </c>
      <c r="C256" s="5" t="s">
        <v>703</v>
      </c>
      <c r="D256" s="5" t="s">
        <v>793</v>
      </c>
      <c r="E256" s="5" t="s">
        <v>21</v>
      </c>
      <c r="F256" s="5"/>
    </row>
    <row r="257" spans="1:6" x14ac:dyDescent="0.25">
      <c r="A257" s="5" t="s">
        <v>266</v>
      </c>
      <c r="B257" s="5">
        <v>1</v>
      </c>
      <c r="C257" s="5" t="s">
        <v>1159</v>
      </c>
      <c r="D257" s="5" t="s">
        <v>1160</v>
      </c>
      <c r="E257" s="5" t="s">
        <v>809</v>
      </c>
      <c r="F257" s="5"/>
    </row>
    <row r="258" spans="1:6" x14ac:dyDescent="0.25">
      <c r="A258" s="5" t="s">
        <v>266</v>
      </c>
      <c r="B258" s="5">
        <v>1</v>
      </c>
      <c r="C258" s="5" t="s">
        <v>752</v>
      </c>
      <c r="D258" s="5" t="s">
        <v>1011</v>
      </c>
      <c r="E258" s="5" t="s">
        <v>806</v>
      </c>
      <c r="F258" s="5"/>
    </row>
    <row r="259" spans="1:6" x14ac:dyDescent="0.25">
      <c r="A259" s="5" t="s">
        <v>268</v>
      </c>
      <c r="B259" s="5">
        <v>1</v>
      </c>
      <c r="C259" s="5" t="s">
        <v>139</v>
      </c>
      <c r="D259" s="5" t="s">
        <v>140</v>
      </c>
      <c r="E259" s="5" t="s">
        <v>141</v>
      </c>
      <c r="F259" s="5"/>
    </row>
    <row r="260" spans="1:6" x14ac:dyDescent="0.25">
      <c r="A260" s="5" t="s">
        <v>269</v>
      </c>
      <c r="B260" s="5">
        <v>1</v>
      </c>
      <c r="C260" s="5" t="s">
        <v>703</v>
      </c>
      <c r="D260" s="5" t="s">
        <v>793</v>
      </c>
      <c r="E260" s="5" t="s">
        <v>21</v>
      </c>
      <c r="F260" s="5"/>
    </row>
    <row r="261" spans="1:6" x14ac:dyDescent="0.25">
      <c r="A261" s="5" t="s">
        <v>270</v>
      </c>
      <c r="B261" s="5">
        <v>1</v>
      </c>
      <c r="C261" s="5" t="s">
        <v>218</v>
      </c>
      <c r="D261" s="5" t="s">
        <v>219</v>
      </c>
      <c r="E261" s="5" t="s">
        <v>220</v>
      </c>
      <c r="F261" s="5"/>
    </row>
    <row r="262" spans="1:6" x14ac:dyDescent="0.25">
      <c r="A262" s="5" t="s">
        <v>270</v>
      </c>
      <c r="B262" s="5">
        <v>1</v>
      </c>
      <c r="C262" s="5" t="s">
        <v>215</v>
      </c>
      <c r="D262" s="5" t="s">
        <v>1054</v>
      </c>
      <c r="E262" s="5" t="s">
        <v>217</v>
      </c>
      <c r="F262" s="5"/>
    </row>
    <row r="263" spans="1:6" x14ac:dyDescent="0.25">
      <c r="A263" s="5" t="s">
        <v>271</v>
      </c>
      <c r="B263" s="5">
        <v>1</v>
      </c>
      <c r="C263" s="5" t="s">
        <v>218</v>
      </c>
      <c r="D263" s="5" t="s">
        <v>219</v>
      </c>
      <c r="E263" s="5" t="s">
        <v>220</v>
      </c>
      <c r="F263" s="5"/>
    </row>
    <row r="264" spans="1:6" x14ac:dyDescent="0.25">
      <c r="A264" s="5" t="s">
        <v>271</v>
      </c>
      <c r="B264" s="5">
        <v>1</v>
      </c>
      <c r="C264" s="5" t="s">
        <v>215</v>
      </c>
      <c r="D264" s="5" t="s">
        <v>1054</v>
      </c>
      <c r="E264" s="5" t="s">
        <v>217</v>
      </c>
      <c r="F264" s="5"/>
    </row>
    <row r="265" spans="1:6" x14ac:dyDescent="0.25">
      <c r="A265" s="5" t="s">
        <v>272</v>
      </c>
      <c r="B265" s="5">
        <v>1</v>
      </c>
      <c r="C265" s="5" t="s">
        <v>80</v>
      </c>
      <c r="D265" s="5" t="s">
        <v>81</v>
      </c>
      <c r="E265" s="5" t="s">
        <v>82</v>
      </c>
      <c r="F265" s="5"/>
    </row>
    <row r="266" spans="1:6" x14ac:dyDescent="0.25">
      <c r="A266" s="5" t="s">
        <v>272</v>
      </c>
      <c r="B266" s="5">
        <v>1</v>
      </c>
      <c r="C266" s="5" t="s">
        <v>77</v>
      </c>
      <c r="D266" s="5" t="s">
        <v>78</v>
      </c>
      <c r="E266" s="5" t="s">
        <v>79</v>
      </c>
      <c r="F266" s="5"/>
    </row>
    <row r="267" spans="1:6" x14ac:dyDescent="0.25">
      <c r="A267" s="5" t="s">
        <v>273</v>
      </c>
      <c r="B267" s="5">
        <v>1</v>
      </c>
      <c r="C267" s="5" t="s">
        <v>274</v>
      </c>
      <c r="D267" s="5" t="s">
        <v>275</v>
      </c>
      <c r="E267" s="5" t="s">
        <v>276</v>
      </c>
      <c r="F267" s="5"/>
    </row>
    <row r="268" spans="1:6" x14ac:dyDescent="0.25">
      <c r="A268" s="5" t="s">
        <v>277</v>
      </c>
      <c r="B268" s="5">
        <v>1</v>
      </c>
      <c r="C268" s="5" t="s">
        <v>80</v>
      </c>
      <c r="D268" s="5" t="s">
        <v>81</v>
      </c>
      <c r="E268" s="5" t="s">
        <v>82</v>
      </c>
      <c r="F268" s="5"/>
    </row>
    <row r="269" spans="1:6" x14ac:dyDescent="0.25">
      <c r="A269" s="5" t="s">
        <v>277</v>
      </c>
      <c r="B269" s="5">
        <v>1</v>
      </c>
      <c r="C269" s="5" t="s">
        <v>77</v>
      </c>
      <c r="D269" s="5" t="s">
        <v>78</v>
      </c>
      <c r="E269" s="5" t="s">
        <v>79</v>
      </c>
      <c r="F269" s="5"/>
    </row>
    <row r="270" spans="1:6" x14ac:dyDescent="0.25">
      <c r="A270" s="5" t="s">
        <v>1161</v>
      </c>
      <c r="B270" s="5">
        <v>1</v>
      </c>
      <c r="C270" s="5" t="s">
        <v>1162</v>
      </c>
      <c r="D270" s="5" t="s">
        <v>1163</v>
      </c>
      <c r="E270" s="5" t="s">
        <v>814</v>
      </c>
      <c r="F270" s="5"/>
    </row>
    <row r="271" spans="1:6" x14ac:dyDescent="0.25">
      <c r="A271" s="5" t="s">
        <v>1164</v>
      </c>
      <c r="B271" s="5">
        <v>1</v>
      </c>
      <c r="C271" s="5" t="s">
        <v>1162</v>
      </c>
      <c r="D271" s="5" t="s">
        <v>1163</v>
      </c>
      <c r="E271" s="5" t="s">
        <v>814</v>
      </c>
      <c r="F271" s="5"/>
    </row>
    <row r="272" spans="1:6" x14ac:dyDescent="0.25">
      <c r="A272" s="5" t="s">
        <v>278</v>
      </c>
      <c r="B272" s="5">
        <v>1</v>
      </c>
      <c r="C272" s="5" t="s">
        <v>107</v>
      </c>
      <c r="D272" s="5" t="s">
        <v>108</v>
      </c>
      <c r="E272" s="5" t="s">
        <v>109</v>
      </c>
      <c r="F272" s="5"/>
    </row>
    <row r="273" spans="1:6" x14ac:dyDescent="0.25">
      <c r="A273" s="5" t="s">
        <v>279</v>
      </c>
      <c r="B273" s="5">
        <v>1</v>
      </c>
      <c r="C273" s="5" t="s">
        <v>143</v>
      </c>
      <c r="D273" s="5" t="s">
        <v>733</v>
      </c>
      <c r="E273" s="5" t="s">
        <v>144</v>
      </c>
      <c r="F273" s="5"/>
    </row>
    <row r="274" spans="1:6" x14ac:dyDescent="0.25">
      <c r="A274" s="5" t="s">
        <v>286</v>
      </c>
      <c r="B274" s="5">
        <v>1</v>
      </c>
      <c r="C274" s="5" t="s">
        <v>228</v>
      </c>
      <c r="D274" s="5" t="s">
        <v>229</v>
      </c>
      <c r="E274" s="5" t="s">
        <v>230</v>
      </c>
      <c r="F274" s="5"/>
    </row>
    <row r="275" spans="1:6" x14ac:dyDescent="0.25">
      <c r="A275" s="5" t="s">
        <v>287</v>
      </c>
      <c r="B275" s="5">
        <v>1</v>
      </c>
      <c r="C275" s="5" t="s">
        <v>228</v>
      </c>
      <c r="D275" s="5" t="s">
        <v>229</v>
      </c>
      <c r="E275" s="5" t="s">
        <v>230</v>
      </c>
      <c r="F275" s="5"/>
    </row>
    <row r="276" spans="1:6" x14ac:dyDescent="0.25">
      <c r="A276" s="5" t="s">
        <v>288</v>
      </c>
      <c r="B276" s="5">
        <v>1</v>
      </c>
      <c r="C276" s="5" t="s">
        <v>228</v>
      </c>
      <c r="D276" s="5" t="s">
        <v>229</v>
      </c>
      <c r="E276" s="5" t="s">
        <v>230</v>
      </c>
      <c r="F276" s="5"/>
    </row>
    <row r="277" spans="1:6" x14ac:dyDescent="0.25">
      <c r="A277" s="5" t="s">
        <v>289</v>
      </c>
      <c r="B277" s="5">
        <v>1</v>
      </c>
      <c r="C277" s="5" t="s">
        <v>228</v>
      </c>
      <c r="D277" s="5" t="s">
        <v>229</v>
      </c>
      <c r="E277" s="5" t="s">
        <v>230</v>
      </c>
      <c r="F277" s="5"/>
    </row>
    <row r="278" spans="1:6" x14ac:dyDescent="0.25">
      <c r="A278" s="5" t="s">
        <v>290</v>
      </c>
      <c r="B278" s="5">
        <v>1</v>
      </c>
      <c r="C278" s="5" t="s">
        <v>77</v>
      </c>
      <c r="D278" s="5" t="s">
        <v>78</v>
      </c>
      <c r="E278" s="5" t="s">
        <v>79</v>
      </c>
      <c r="F278" s="5"/>
    </row>
    <row r="279" spans="1:6" x14ac:dyDescent="0.25">
      <c r="A279" s="5" t="s">
        <v>290</v>
      </c>
      <c r="B279" s="5">
        <v>1</v>
      </c>
      <c r="C279" s="5" t="s">
        <v>80</v>
      </c>
      <c r="D279" s="5" t="s">
        <v>81</v>
      </c>
      <c r="E279" s="5" t="s">
        <v>82</v>
      </c>
      <c r="F279" s="5"/>
    </row>
    <row r="280" spans="1:6" x14ac:dyDescent="0.25">
      <c r="A280" s="5" t="s">
        <v>291</v>
      </c>
      <c r="B280" s="5">
        <v>1</v>
      </c>
      <c r="C280" s="5" t="s">
        <v>292</v>
      </c>
      <c r="D280" s="5" t="s">
        <v>293</v>
      </c>
      <c r="E280" s="5" t="s">
        <v>294</v>
      </c>
      <c r="F280" s="5"/>
    </row>
    <row r="281" spans="1:6" x14ac:dyDescent="0.25">
      <c r="A281" s="5" t="s">
        <v>295</v>
      </c>
      <c r="B281" s="5">
        <v>1</v>
      </c>
      <c r="C281" s="5" t="s">
        <v>80</v>
      </c>
      <c r="D281" s="5" t="s">
        <v>81</v>
      </c>
      <c r="E281" s="5" t="s">
        <v>82</v>
      </c>
      <c r="F281" s="5"/>
    </row>
    <row r="282" spans="1:6" x14ac:dyDescent="0.25">
      <c r="A282" s="5" t="s">
        <v>295</v>
      </c>
      <c r="B282" s="5">
        <v>1</v>
      </c>
      <c r="C282" s="5" t="s">
        <v>77</v>
      </c>
      <c r="D282" s="5" t="s">
        <v>78</v>
      </c>
      <c r="E282" s="5" t="s">
        <v>79</v>
      </c>
      <c r="F282" s="5"/>
    </row>
    <row r="283" spans="1:6" x14ac:dyDescent="0.25">
      <c r="A283" s="5" t="s">
        <v>296</v>
      </c>
      <c r="B283" s="5">
        <v>1</v>
      </c>
      <c r="C283" s="5" t="s">
        <v>703</v>
      </c>
      <c r="D283" s="5" t="s">
        <v>793</v>
      </c>
      <c r="E283" s="5" t="s">
        <v>21</v>
      </c>
      <c r="F283" s="5"/>
    </row>
    <row r="284" spans="1:6" x14ac:dyDescent="0.25">
      <c r="A284" s="5" t="s">
        <v>297</v>
      </c>
      <c r="B284" s="5">
        <v>1</v>
      </c>
      <c r="C284" s="5" t="s">
        <v>703</v>
      </c>
      <c r="D284" s="5" t="s">
        <v>793</v>
      </c>
      <c r="E284" s="5" t="s">
        <v>21</v>
      </c>
      <c r="F284" s="5"/>
    </row>
    <row r="285" spans="1:6" x14ac:dyDescent="0.25">
      <c r="A285" s="5" t="s">
        <v>298</v>
      </c>
      <c r="B285" s="5">
        <v>1</v>
      </c>
      <c r="C285" s="5" t="s">
        <v>703</v>
      </c>
      <c r="D285" s="5" t="s">
        <v>793</v>
      </c>
      <c r="E285" s="5" t="s">
        <v>21</v>
      </c>
      <c r="F285" s="5"/>
    </row>
    <row r="286" spans="1:6" x14ac:dyDescent="0.25">
      <c r="A286" s="5" t="s">
        <v>299</v>
      </c>
      <c r="B286" s="5">
        <v>1</v>
      </c>
      <c r="C286" s="5" t="s">
        <v>300</v>
      </c>
      <c r="D286" s="5" t="s">
        <v>301</v>
      </c>
      <c r="E286" s="5" t="s">
        <v>302</v>
      </c>
      <c r="F286" s="5"/>
    </row>
    <row r="287" spans="1:6" x14ac:dyDescent="0.25">
      <c r="A287" s="5" t="s">
        <v>303</v>
      </c>
      <c r="B287" s="5">
        <v>1</v>
      </c>
      <c r="C287" s="5" t="s">
        <v>107</v>
      </c>
      <c r="D287" s="5" t="s">
        <v>108</v>
      </c>
      <c r="E287" s="5" t="s">
        <v>109</v>
      </c>
      <c r="F287" s="5"/>
    </row>
    <row r="288" spans="1:6" x14ac:dyDescent="0.25">
      <c r="A288" s="5" t="s">
        <v>304</v>
      </c>
      <c r="B288" s="5">
        <v>1</v>
      </c>
      <c r="C288" s="5" t="s">
        <v>107</v>
      </c>
      <c r="D288" s="5" t="s">
        <v>108</v>
      </c>
      <c r="E288" s="5" t="s">
        <v>109</v>
      </c>
      <c r="F288" s="5"/>
    </row>
    <row r="289" spans="1:6" x14ac:dyDescent="0.25">
      <c r="A289" s="5" t="s">
        <v>305</v>
      </c>
      <c r="B289" s="5">
        <v>1</v>
      </c>
      <c r="C289" s="5" t="s">
        <v>77</v>
      </c>
      <c r="D289" s="5" t="s">
        <v>78</v>
      </c>
      <c r="E289" s="5" t="s">
        <v>79</v>
      </c>
      <c r="F289" s="5"/>
    </row>
    <row r="290" spans="1:6" x14ac:dyDescent="0.25">
      <c r="A290" s="5" t="s">
        <v>305</v>
      </c>
      <c r="B290" s="5">
        <v>1</v>
      </c>
      <c r="C290" s="5" t="s">
        <v>80</v>
      </c>
      <c r="D290" s="5" t="s">
        <v>81</v>
      </c>
      <c r="E290" s="5" t="s">
        <v>82</v>
      </c>
      <c r="F290" s="5"/>
    </row>
    <row r="291" spans="1:6" x14ac:dyDescent="0.25">
      <c r="A291" s="5" t="s">
        <v>306</v>
      </c>
      <c r="B291" s="5">
        <v>1</v>
      </c>
      <c r="C291" s="5" t="s">
        <v>313</v>
      </c>
      <c r="D291" s="5" t="s">
        <v>1130</v>
      </c>
      <c r="E291" s="5" t="s">
        <v>315</v>
      </c>
      <c r="F291" s="5"/>
    </row>
    <row r="292" spans="1:6" x14ac:dyDescent="0.25">
      <c r="A292" s="5" t="s">
        <v>306</v>
      </c>
      <c r="B292" s="5">
        <v>1</v>
      </c>
      <c r="C292" s="5" t="s">
        <v>310</v>
      </c>
      <c r="D292" s="5" t="s">
        <v>1075</v>
      </c>
      <c r="E292" s="5" t="s">
        <v>312</v>
      </c>
      <c r="F292" s="5"/>
    </row>
    <row r="293" spans="1:6" x14ac:dyDescent="0.25">
      <c r="A293" s="5" t="s">
        <v>306</v>
      </c>
      <c r="B293" s="5">
        <v>1</v>
      </c>
      <c r="C293" s="5" t="s">
        <v>307</v>
      </c>
      <c r="D293" s="5" t="s">
        <v>1077</v>
      </c>
      <c r="E293" s="5" t="s">
        <v>309</v>
      </c>
      <c r="F293" s="5"/>
    </row>
    <row r="294" spans="1:6" x14ac:dyDescent="0.25">
      <c r="A294" s="5" t="s">
        <v>316</v>
      </c>
      <c r="B294" s="5">
        <v>1</v>
      </c>
      <c r="C294" s="5" t="s">
        <v>307</v>
      </c>
      <c r="D294" s="5" t="s">
        <v>1077</v>
      </c>
      <c r="E294" s="5" t="s">
        <v>309</v>
      </c>
      <c r="F294" s="5"/>
    </row>
    <row r="295" spans="1:6" x14ac:dyDescent="0.25">
      <c r="A295" s="5" t="s">
        <v>316</v>
      </c>
      <c r="B295" s="5">
        <v>1</v>
      </c>
      <c r="C295" s="5" t="s">
        <v>310</v>
      </c>
      <c r="D295" s="5" t="s">
        <v>1075</v>
      </c>
      <c r="E295" s="5" t="s">
        <v>312</v>
      </c>
      <c r="F295" s="5"/>
    </row>
    <row r="296" spans="1:6" x14ac:dyDescent="0.25">
      <c r="A296" s="5" t="s">
        <v>316</v>
      </c>
      <c r="B296" s="5">
        <v>1</v>
      </c>
      <c r="C296" s="5" t="s">
        <v>313</v>
      </c>
      <c r="D296" s="5" t="s">
        <v>1130</v>
      </c>
      <c r="E296" s="5" t="s">
        <v>315</v>
      </c>
      <c r="F296" s="5"/>
    </row>
    <row r="297" spans="1:6" x14ac:dyDescent="0.25">
      <c r="A297" s="5" t="s">
        <v>1165</v>
      </c>
      <c r="B297" s="5">
        <v>1</v>
      </c>
      <c r="C297" s="5" t="s">
        <v>307</v>
      </c>
      <c r="D297" s="5" t="s">
        <v>1077</v>
      </c>
      <c r="E297" s="5" t="s">
        <v>309</v>
      </c>
      <c r="F297" s="5"/>
    </row>
    <row r="298" spans="1:6" x14ac:dyDescent="0.25">
      <c r="A298" s="5" t="s">
        <v>1165</v>
      </c>
      <c r="B298" s="5">
        <v>1</v>
      </c>
      <c r="C298" s="5" t="s">
        <v>313</v>
      </c>
      <c r="D298" s="5" t="s">
        <v>1130</v>
      </c>
      <c r="E298" s="5" t="s">
        <v>315</v>
      </c>
      <c r="F298" s="5"/>
    </row>
    <row r="299" spans="1:6" x14ac:dyDescent="0.25">
      <c r="A299" s="5" t="s">
        <v>1165</v>
      </c>
      <c r="B299" s="5">
        <v>1</v>
      </c>
      <c r="C299" s="5" t="s">
        <v>310</v>
      </c>
      <c r="D299" s="5" t="s">
        <v>1075</v>
      </c>
      <c r="E299" s="5" t="s">
        <v>312</v>
      </c>
      <c r="F299" s="5"/>
    </row>
    <row r="300" spans="1:6" x14ac:dyDescent="0.25">
      <c r="A300" s="5" t="s">
        <v>1166</v>
      </c>
      <c r="B300" s="5">
        <v>1</v>
      </c>
      <c r="C300" s="5" t="s">
        <v>313</v>
      </c>
      <c r="D300" s="5" t="s">
        <v>1130</v>
      </c>
      <c r="E300" s="5" t="s">
        <v>315</v>
      </c>
      <c r="F300" s="5"/>
    </row>
    <row r="301" spans="1:6" x14ac:dyDescent="0.25">
      <c r="A301" s="5" t="s">
        <v>1166</v>
      </c>
      <c r="B301" s="5">
        <v>1</v>
      </c>
      <c r="C301" s="5" t="s">
        <v>310</v>
      </c>
      <c r="D301" s="5" t="s">
        <v>1075</v>
      </c>
      <c r="E301" s="5" t="s">
        <v>312</v>
      </c>
      <c r="F301" s="5"/>
    </row>
    <row r="302" spans="1:6" x14ac:dyDescent="0.25">
      <c r="A302" s="5" t="s">
        <v>1166</v>
      </c>
      <c r="B302" s="5">
        <v>1</v>
      </c>
      <c r="C302" s="5" t="s">
        <v>307</v>
      </c>
      <c r="D302" s="5" t="s">
        <v>1077</v>
      </c>
      <c r="E302" s="5" t="s">
        <v>309</v>
      </c>
      <c r="F302" s="5"/>
    </row>
    <row r="303" spans="1:6" x14ac:dyDescent="0.25">
      <c r="A303" s="5" t="s">
        <v>317</v>
      </c>
      <c r="B303" s="5">
        <v>1</v>
      </c>
      <c r="C303" s="5" t="s">
        <v>318</v>
      </c>
      <c r="D303" s="5" t="s">
        <v>319</v>
      </c>
      <c r="E303" s="5" t="s">
        <v>320</v>
      </c>
      <c r="F303" s="5"/>
    </row>
    <row r="304" spans="1:6" x14ac:dyDescent="0.25">
      <c r="A304" s="5" t="s">
        <v>1167</v>
      </c>
      <c r="B304" s="5">
        <v>1</v>
      </c>
      <c r="C304" s="5" t="s">
        <v>310</v>
      </c>
      <c r="D304" s="5" t="s">
        <v>1075</v>
      </c>
      <c r="E304" s="5" t="s">
        <v>312</v>
      </c>
      <c r="F304" s="5"/>
    </row>
    <row r="305" spans="1:6" x14ac:dyDescent="0.25">
      <c r="A305" s="5" t="s">
        <v>1167</v>
      </c>
      <c r="B305" s="5">
        <v>1</v>
      </c>
      <c r="C305" s="5" t="s">
        <v>313</v>
      </c>
      <c r="D305" s="5" t="s">
        <v>1130</v>
      </c>
      <c r="E305" s="5" t="s">
        <v>315</v>
      </c>
      <c r="F305" s="5"/>
    </row>
    <row r="306" spans="1:6" x14ac:dyDescent="0.25">
      <c r="A306" s="5" t="s">
        <v>1167</v>
      </c>
      <c r="B306" s="5">
        <v>1</v>
      </c>
      <c r="C306" s="5" t="s">
        <v>307</v>
      </c>
      <c r="D306" s="5" t="s">
        <v>1077</v>
      </c>
      <c r="E306" s="5" t="s">
        <v>309</v>
      </c>
      <c r="F306" s="5"/>
    </row>
    <row r="307" spans="1:6" x14ac:dyDescent="0.25">
      <c r="A307" s="5" t="s">
        <v>1168</v>
      </c>
      <c r="B307" s="5">
        <v>1</v>
      </c>
      <c r="C307" s="5" t="s">
        <v>310</v>
      </c>
      <c r="D307" s="5" t="s">
        <v>1075</v>
      </c>
      <c r="E307" s="5" t="s">
        <v>312</v>
      </c>
      <c r="F307" s="5"/>
    </row>
    <row r="308" spans="1:6" x14ac:dyDescent="0.25">
      <c r="A308" s="5" t="s">
        <v>1168</v>
      </c>
      <c r="B308" s="5">
        <v>1</v>
      </c>
      <c r="C308" s="5" t="s">
        <v>313</v>
      </c>
      <c r="D308" s="5" t="s">
        <v>1130</v>
      </c>
      <c r="E308" s="5" t="s">
        <v>315</v>
      </c>
      <c r="F308" s="5"/>
    </row>
    <row r="309" spans="1:6" x14ac:dyDescent="0.25">
      <c r="A309" s="5" t="s">
        <v>1168</v>
      </c>
      <c r="B309" s="5">
        <v>1</v>
      </c>
      <c r="C309" s="5" t="s">
        <v>307</v>
      </c>
      <c r="D309" s="5" t="s">
        <v>1077</v>
      </c>
      <c r="E309" s="5" t="s">
        <v>309</v>
      </c>
      <c r="F309" s="5"/>
    </row>
    <row r="310" spans="1:6" x14ac:dyDescent="0.25">
      <c r="A310" s="5" t="s">
        <v>1169</v>
      </c>
      <c r="B310" s="5">
        <v>1</v>
      </c>
      <c r="C310" s="5" t="s">
        <v>310</v>
      </c>
      <c r="D310" s="5" t="s">
        <v>1075</v>
      </c>
      <c r="E310" s="5" t="s">
        <v>312</v>
      </c>
      <c r="F310" s="5"/>
    </row>
    <row r="311" spans="1:6" x14ac:dyDescent="0.25">
      <c r="A311" s="5" t="s">
        <v>1169</v>
      </c>
      <c r="B311" s="5">
        <v>1</v>
      </c>
      <c r="C311" s="5" t="s">
        <v>307</v>
      </c>
      <c r="D311" s="5" t="s">
        <v>1077</v>
      </c>
      <c r="E311" s="5" t="s">
        <v>309</v>
      </c>
      <c r="F311" s="5"/>
    </row>
    <row r="312" spans="1:6" x14ac:dyDescent="0.25">
      <c r="A312" s="5" t="s">
        <v>1169</v>
      </c>
      <c r="B312" s="5">
        <v>1</v>
      </c>
      <c r="C312" s="5" t="s">
        <v>313</v>
      </c>
      <c r="D312" s="5" t="s">
        <v>1130</v>
      </c>
      <c r="E312" s="5" t="s">
        <v>315</v>
      </c>
      <c r="F312" s="5"/>
    </row>
    <row r="313" spans="1:6" x14ac:dyDescent="0.25">
      <c r="A313" s="5" t="s">
        <v>1170</v>
      </c>
      <c r="B313" s="5">
        <v>1</v>
      </c>
      <c r="C313" s="5" t="s">
        <v>321</v>
      </c>
      <c r="D313" s="5" t="s">
        <v>322</v>
      </c>
      <c r="E313" s="5" t="s">
        <v>910</v>
      </c>
      <c r="F313" s="5"/>
    </row>
    <row r="314" spans="1:6" x14ac:dyDescent="0.25">
      <c r="A314" s="5" t="s">
        <v>323</v>
      </c>
      <c r="B314" s="5">
        <v>1</v>
      </c>
      <c r="C314" s="5" t="s">
        <v>703</v>
      </c>
      <c r="D314" s="5" t="s">
        <v>793</v>
      </c>
      <c r="E314" s="5" t="s">
        <v>21</v>
      </c>
      <c r="F314" s="5"/>
    </row>
    <row r="315" spans="1:6" x14ac:dyDescent="0.25">
      <c r="A315" s="5" t="s">
        <v>325</v>
      </c>
      <c r="B315" s="5">
        <v>1</v>
      </c>
      <c r="C315" s="5" t="s">
        <v>326</v>
      </c>
      <c r="D315" s="5" t="s">
        <v>327</v>
      </c>
      <c r="E315" s="5" t="s">
        <v>328</v>
      </c>
      <c r="F315" s="5"/>
    </row>
    <row r="316" spans="1:6" x14ac:dyDescent="0.25">
      <c r="A316" s="5" t="s">
        <v>329</v>
      </c>
      <c r="B316" s="5">
        <v>1</v>
      </c>
      <c r="C316" s="5" t="s">
        <v>107</v>
      </c>
      <c r="D316" s="5" t="s">
        <v>108</v>
      </c>
      <c r="E316" s="5" t="s">
        <v>109</v>
      </c>
      <c r="F316" s="5"/>
    </row>
    <row r="317" spans="1:6" x14ac:dyDescent="0.25">
      <c r="A317" s="5" t="s">
        <v>330</v>
      </c>
      <c r="B317" s="5">
        <v>1</v>
      </c>
      <c r="C317" s="5" t="s">
        <v>107</v>
      </c>
      <c r="D317" s="5" t="s">
        <v>108</v>
      </c>
      <c r="E317" s="5" t="s">
        <v>109</v>
      </c>
      <c r="F317" s="5"/>
    </row>
    <row r="318" spans="1:6" x14ac:dyDescent="0.25">
      <c r="A318" s="5" t="s">
        <v>331</v>
      </c>
      <c r="B318" s="5">
        <v>1</v>
      </c>
      <c r="C318" s="5" t="s">
        <v>107</v>
      </c>
      <c r="D318" s="5" t="s">
        <v>108</v>
      </c>
      <c r="E318" s="5" t="s">
        <v>109</v>
      </c>
      <c r="F318" s="5"/>
    </row>
    <row r="319" spans="1:6" x14ac:dyDescent="0.25">
      <c r="A319" s="5" t="s">
        <v>333</v>
      </c>
      <c r="B319" s="5">
        <v>1</v>
      </c>
      <c r="C319" s="5" t="s">
        <v>334</v>
      </c>
      <c r="D319" s="5" t="s">
        <v>335</v>
      </c>
      <c r="E319" s="5" t="s">
        <v>336</v>
      </c>
      <c r="F319" s="5"/>
    </row>
    <row r="320" spans="1:6" x14ac:dyDescent="0.25">
      <c r="A320" s="5" t="s">
        <v>337</v>
      </c>
      <c r="B320" s="5">
        <v>1</v>
      </c>
      <c r="C320" s="5" t="s">
        <v>338</v>
      </c>
      <c r="D320" s="5" t="s">
        <v>339</v>
      </c>
      <c r="E320" s="5" t="s">
        <v>949</v>
      </c>
      <c r="F320" s="5"/>
    </row>
    <row r="321" spans="1:6" x14ac:dyDescent="0.25">
      <c r="A321" s="5" t="s">
        <v>340</v>
      </c>
      <c r="B321" s="5">
        <v>1</v>
      </c>
      <c r="C321" s="5" t="s">
        <v>341</v>
      </c>
      <c r="D321" s="5" t="s">
        <v>342</v>
      </c>
      <c r="E321" s="5" t="s">
        <v>343</v>
      </c>
      <c r="F321" s="5"/>
    </row>
    <row r="322" spans="1:6" x14ac:dyDescent="0.25">
      <c r="A322" s="5" t="s">
        <v>344</v>
      </c>
      <c r="B322" s="5">
        <v>1</v>
      </c>
      <c r="C322" s="5" t="s">
        <v>345</v>
      </c>
      <c r="D322" s="5" t="s">
        <v>346</v>
      </c>
      <c r="E322" s="5" t="s">
        <v>347</v>
      </c>
      <c r="F322" s="5"/>
    </row>
    <row r="323" spans="1:6" x14ac:dyDescent="0.25">
      <c r="A323" s="5" t="s">
        <v>348</v>
      </c>
      <c r="B323" s="5">
        <v>1</v>
      </c>
      <c r="C323" s="5" t="s">
        <v>107</v>
      </c>
      <c r="D323" s="5" t="s">
        <v>108</v>
      </c>
      <c r="E323" s="5" t="s">
        <v>109</v>
      </c>
      <c r="F323" s="5"/>
    </row>
    <row r="324" spans="1:6" x14ac:dyDescent="0.25">
      <c r="A324" s="5" t="s">
        <v>1171</v>
      </c>
      <c r="B324" s="5">
        <v>1</v>
      </c>
      <c r="C324" s="5" t="s">
        <v>80</v>
      </c>
      <c r="D324" s="5" t="s">
        <v>81</v>
      </c>
      <c r="E324" s="5" t="s">
        <v>82</v>
      </c>
      <c r="F324" s="5"/>
    </row>
    <row r="325" spans="1:6" x14ac:dyDescent="0.25">
      <c r="A325" s="5" t="s">
        <v>1171</v>
      </c>
      <c r="B325" s="5">
        <v>1</v>
      </c>
      <c r="C325" s="5" t="s">
        <v>77</v>
      </c>
      <c r="D325" s="5" t="s">
        <v>78</v>
      </c>
      <c r="E325" s="5" t="s">
        <v>79</v>
      </c>
      <c r="F325" s="5"/>
    </row>
    <row r="326" spans="1:6" x14ac:dyDescent="0.25">
      <c r="A326" s="5" t="s">
        <v>1172</v>
      </c>
      <c r="B326" s="5">
        <v>1</v>
      </c>
      <c r="C326" s="5" t="s">
        <v>80</v>
      </c>
      <c r="D326" s="5" t="s">
        <v>81</v>
      </c>
      <c r="E326" s="5" t="s">
        <v>82</v>
      </c>
      <c r="F326" s="5"/>
    </row>
    <row r="327" spans="1:6" x14ac:dyDescent="0.25">
      <c r="A327" s="5" t="s">
        <v>1172</v>
      </c>
      <c r="B327" s="5">
        <v>1</v>
      </c>
      <c r="C327" s="5" t="s">
        <v>77</v>
      </c>
      <c r="D327" s="5" t="s">
        <v>78</v>
      </c>
      <c r="E327" s="5" t="s">
        <v>79</v>
      </c>
      <c r="F327" s="5"/>
    </row>
    <row r="328" spans="1:6" x14ac:dyDescent="0.25">
      <c r="A328" s="5" t="s">
        <v>349</v>
      </c>
      <c r="B328" s="5">
        <v>1</v>
      </c>
      <c r="C328" s="5" t="s">
        <v>349</v>
      </c>
      <c r="D328" s="5" t="s">
        <v>350</v>
      </c>
      <c r="E328" s="5" t="s">
        <v>351</v>
      </c>
      <c r="F328" s="5"/>
    </row>
    <row r="329" spans="1:6" x14ac:dyDescent="0.25">
      <c r="A329" s="5" t="s">
        <v>352</v>
      </c>
      <c r="B329" s="5">
        <v>1</v>
      </c>
      <c r="C329" s="5" t="s">
        <v>80</v>
      </c>
      <c r="D329" s="5" t="s">
        <v>81</v>
      </c>
      <c r="E329" s="5" t="s">
        <v>82</v>
      </c>
      <c r="F329" s="5"/>
    </row>
    <row r="330" spans="1:6" x14ac:dyDescent="0.25">
      <c r="A330" s="5" t="s">
        <v>352</v>
      </c>
      <c r="B330" s="5">
        <v>1</v>
      </c>
      <c r="C330" s="5" t="s">
        <v>77</v>
      </c>
      <c r="D330" s="5" t="s">
        <v>78</v>
      </c>
      <c r="E330" s="5" t="s">
        <v>79</v>
      </c>
      <c r="F330" s="5"/>
    </row>
    <row r="331" spans="1:6" x14ac:dyDescent="0.25">
      <c r="A331" s="5" t="s">
        <v>353</v>
      </c>
      <c r="B331" s="5">
        <v>1</v>
      </c>
      <c r="C331" s="5" t="s">
        <v>80</v>
      </c>
      <c r="D331" s="5" t="s">
        <v>81</v>
      </c>
      <c r="E331" s="5" t="s">
        <v>82</v>
      </c>
      <c r="F331" s="5"/>
    </row>
    <row r="332" spans="1:6" x14ac:dyDescent="0.25">
      <c r="A332" s="5" t="s">
        <v>353</v>
      </c>
      <c r="B332" s="5">
        <v>1</v>
      </c>
      <c r="C332" s="5" t="s">
        <v>77</v>
      </c>
      <c r="D332" s="5" t="s">
        <v>78</v>
      </c>
      <c r="E332" s="5" t="s">
        <v>79</v>
      </c>
      <c r="F332" s="5"/>
    </row>
    <row r="333" spans="1:6" x14ac:dyDescent="0.25">
      <c r="A333" s="5" t="s">
        <v>354</v>
      </c>
      <c r="B333" s="5">
        <v>1</v>
      </c>
      <c r="C333" s="5" t="s">
        <v>345</v>
      </c>
      <c r="D333" s="5" t="s">
        <v>346</v>
      </c>
      <c r="E333" s="5" t="s">
        <v>347</v>
      </c>
      <c r="F333" s="5"/>
    </row>
    <row r="334" spans="1:6" x14ac:dyDescent="0.25">
      <c r="A334" s="5" t="s">
        <v>355</v>
      </c>
      <c r="B334" s="5">
        <v>1</v>
      </c>
      <c r="C334" s="5" t="s">
        <v>345</v>
      </c>
      <c r="D334" s="5" t="s">
        <v>346</v>
      </c>
      <c r="E334" s="5" t="s">
        <v>347</v>
      </c>
      <c r="F334" s="5"/>
    </row>
    <row r="335" spans="1:6" x14ac:dyDescent="0.25">
      <c r="A335" s="5" t="s">
        <v>356</v>
      </c>
      <c r="B335" s="5">
        <v>1</v>
      </c>
      <c r="C335" s="5" t="s">
        <v>357</v>
      </c>
      <c r="D335" s="5" t="s">
        <v>358</v>
      </c>
      <c r="E335" s="5" t="s">
        <v>359</v>
      </c>
      <c r="F335" s="5"/>
    </row>
    <row r="336" spans="1:6" x14ac:dyDescent="0.25">
      <c r="A336" s="5" t="s">
        <v>360</v>
      </c>
      <c r="B336" s="5">
        <v>1</v>
      </c>
      <c r="C336" s="5" t="s">
        <v>357</v>
      </c>
      <c r="D336" s="5" t="s">
        <v>358</v>
      </c>
      <c r="E336" s="5" t="s">
        <v>359</v>
      </c>
      <c r="F336" s="5"/>
    </row>
    <row r="337" spans="1:6" x14ac:dyDescent="0.25">
      <c r="A337" s="5" t="s">
        <v>361</v>
      </c>
      <c r="B337" s="5">
        <v>1</v>
      </c>
      <c r="C337" s="5" t="s">
        <v>703</v>
      </c>
      <c r="D337" s="5" t="s">
        <v>793</v>
      </c>
      <c r="E337" s="5" t="s">
        <v>21</v>
      </c>
      <c r="F337" s="5"/>
    </row>
    <row r="338" spans="1:6" x14ac:dyDescent="0.25">
      <c r="A338" s="5" t="s">
        <v>361</v>
      </c>
      <c r="B338" s="5">
        <v>1</v>
      </c>
      <c r="C338" s="5" t="s">
        <v>365</v>
      </c>
      <c r="D338" s="5" t="s">
        <v>366</v>
      </c>
      <c r="E338" s="5" t="s">
        <v>367</v>
      </c>
      <c r="F338" s="5"/>
    </row>
    <row r="339" spans="1:6" x14ac:dyDescent="0.25">
      <c r="A339" s="5" t="s">
        <v>361</v>
      </c>
      <c r="B339" s="5">
        <v>1</v>
      </c>
      <c r="C339" s="5" t="s">
        <v>362</v>
      </c>
      <c r="D339" s="5" t="s">
        <v>363</v>
      </c>
      <c r="E339" s="5" t="s">
        <v>364</v>
      </c>
      <c r="F339" s="5"/>
    </row>
    <row r="340" spans="1:6" x14ac:dyDescent="0.25">
      <c r="A340" s="5" t="s">
        <v>368</v>
      </c>
      <c r="B340" s="5">
        <v>1</v>
      </c>
      <c r="C340" s="5" t="s">
        <v>368</v>
      </c>
      <c r="D340" s="5" t="s">
        <v>369</v>
      </c>
      <c r="E340" s="5" t="s">
        <v>370</v>
      </c>
      <c r="F340" s="5"/>
    </row>
    <row r="341" spans="1:6" x14ac:dyDescent="0.25">
      <c r="A341" s="5" t="s">
        <v>371</v>
      </c>
      <c r="B341" s="5">
        <v>1</v>
      </c>
      <c r="C341" s="5" t="s">
        <v>703</v>
      </c>
      <c r="D341" s="5" t="s">
        <v>793</v>
      </c>
      <c r="E341" s="5" t="s">
        <v>21</v>
      </c>
      <c r="F341" s="5"/>
    </row>
    <row r="342" spans="1:6" x14ac:dyDescent="0.25">
      <c r="A342" s="5" t="s">
        <v>371</v>
      </c>
      <c r="B342" s="5">
        <v>1</v>
      </c>
      <c r="C342" s="5" t="s">
        <v>365</v>
      </c>
      <c r="D342" s="5" t="s">
        <v>366</v>
      </c>
      <c r="E342" s="5" t="s">
        <v>367</v>
      </c>
      <c r="F342" s="5"/>
    </row>
    <row r="343" spans="1:6" x14ac:dyDescent="0.25">
      <c r="A343" s="5" t="s">
        <v>371</v>
      </c>
      <c r="B343" s="5">
        <v>1</v>
      </c>
      <c r="C343" s="5" t="s">
        <v>362</v>
      </c>
      <c r="D343" s="5" t="s">
        <v>363</v>
      </c>
      <c r="E343" s="5" t="s">
        <v>364</v>
      </c>
      <c r="F343" s="5"/>
    </row>
    <row r="344" spans="1:6" x14ac:dyDescent="0.25">
      <c r="A344" s="5" t="s">
        <v>372</v>
      </c>
      <c r="B344" s="5">
        <v>1</v>
      </c>
      <c r="C344" s="5" t="s">
        <v>107</v>
      </c>
      <c r="D344" s="5" t="s">
        <v>108</v>
      </c>
      <c r="E344" s="5" t="s">
        <v>109</v>
      </c>
      <c r="F344" s="5"/>
    </row>
    <row r="345" spans="1:6" x14ac:dyDescent="0.25">
      <c r="A345" s="5" t="s">
        <v>1173</v>
      </c>
      <c r="B345" s="5">
        <v>1</v>
      </c>
      <c r="C345" s="5" t="s">
        <v>1162</v>
      </c>
      <c r="D345" s="5" t="s">
        <v>1163</v>
      </c>
      <c r="E345" s="5" t="s">
        <v>814</v>
      </c>
      <c r="F345" s="5"/>
    </row>
    <row r="346" spans="1:6" x14ac:dyDescent="0.25">
      <c r="A346" s="5" t="s">
        <v>374</v>
      </c>
      <c r="B346" s="5">
        <v>1</v>
      </c>
      <c r="C346" s="5" t="s">
        <v>357</v>
      </c>
      <c r="D346" s="5" t="s">
        <v>358</v>
      </c>
      <c r="E346" s="5" t="s">
        <v>359</v>
      </c>
      <c r="F346" s="5"/>
    </row>
    <row r="347" spans="1:6" x14ac:dyDescent="0.25">
      <c r="A347" s="5" t="s">
        <v>375</v>
      </c>
      <c r="B347" s="5">
        <v>1</v>
      </c>
      <c r="C347" s="5" t="s">
        <v>37</v>
      </c>
      <c r="D347" s="5" t="s">
        <v>38</v>
      </c>
      <c r="E347" s="5" t="s">
        <v>39</v>
      </c>
      <c r="F347" s="5"/>
    </row>
    <row r="348" spans="1:6" x14ac:dyDescent="0.25">
      <c r="A348" s="5" t="s">
        <v>376</v>
      </c>
      <c r="B348" s="5">
        <v>1</v>
      </c>
      <c r="C348" s="5" t="s">
        <v>377</v>
      </c>
      <c r="D348" s="5" t="s">
        <v>378</v>
      </c>
      <c r="E348" s="5" t="s">
        <v>379</v>
      </c>
      <c r="F348" s="5"/>
    </row>
    <row r="349" spans="1:6" x14ac:dyDescent="0.25">
      <c r="A349" s="5" t="s">
        <v>381</v>
      </c>
      <c r="B349" s="5">
        <v>1</v>
      </c>
      <c r="C349" s="5" t="s">
        <v>257</v>
      </c>
      <c r="D349" s="5" t="s">
        <v>258</v>
      </c>
      <c r="E349" s="5" t="s">
        <v>259</v>
      </c>
      <c r="F349" s="5"/>
    </row>
    <row r="350" spans="1:6" x14ac:dyDescent="0.25">
      <c r="A350" s="5" t="s">
        <v>1174</v>
      </c>
      <c r="B350" s="5">
        <v>1</v>
      </c>
      <c r="C350" s="5" t="s">
        <v>321</v>
      </c>
      <c r="D350" s="5" t="s">
        <v>322</v>
      </c>
      <c r="E350" s="5" t="s">
        <v>910</v>
      </c>
      <c r="F350" s="5"/>
    </row>
    <row r="351" spans="1:6" x14ac:dyDescent="0.25">
      <c r="A351" s="5" t="s">
        <v>382</v>
      </c>
      <c r="B351" s="5">
        <v>1</v>
      </c>
      <c r="C351" s="5" t="s">
        <v>383</v>
      </c>
      <c r="D351" s="5" t="s">
        <v>384</v>
      </c>
      <c r="E351" s="5" t="s">
        <v>385</v>
      </c>
      <c r="F351" s="5"/>
    </row>
    <row r="352" spans="1:6" x14ac:dyDescent="0.25">
      <c r="A352" s="5" t="s">
        <v>386</v>
      </c>
      <c r="B352" s="5">
        <v>1</v>
      </c>
      <c r="C352" s="5" t="s">
        <v>77</v>
      </c>
      <c r="D352" s="5" t="s">
        <v>78</v>
      </c>
      <c r="E352" s="5" t="s">
        <v>79</v>
      </c>
      <c r="F352" s="5"/>
    </row>
    <row r="353" spans="1:6" x14ac:dyDescent="0.25">
      <c r="A353" s="5" t="s">
        <v>386</v>
      </c>
      <c r="B353" s="5">
        <v>1</v>
      </c>
      <c r="C353" s="5" t="s">
        <v>80</v>
      </c>
      <c r="D353" s="5" t="s">
        <v>81</v>
      </c>
      <c r="E353" s="5" t="s">
        <v>82</v>
      </c>
      <c r="F353" s="5"/>
    </row>
    <row r="354" spans="1:6" x14ac:dyDescent="0.25">
      <c r="A354" s="5" t="s">
        <v>387</v>
      </c>
      <c r="B354" s="5">
        <v>1</v>
      </c>
      <c r="C354" s="5" t="s">
        <v>107</v>
      </c>
      <c r="D354" s="5" t="s">
        <v>108</v>
      </c>
      <c r="E354" s="5" t="s">
        <v>109</v>
      </c>
      <c r="F354" s="5"/>
    </row>
    <row r="355" spans="1:6" x14ac:dyDescent="0.25">
      <c r="A355" s="5" t="s">
        <v>388</v>
      </c>
      <c r="B355" s="5">
        <v>1</v>
      </c>
      <c r="C355" s="5" t="s">
        <v>107</v>
      </c>
      <c r="D355" s="5" t="s">
        <v>108</v>
      </c>
      <c r="E355" s="5" t="s">
        <v>109</v>
      </c>
      <c r="F355" s="5"/>
    </row>
    <row r="356" spans="1:6" x14ac:dyDescent="0.25">
      <c r="A356" s="5" t="s">
        <v>389</v>
      </c>
      <c r="B356" s="5">
        <v>1</v>
      </c>
      <c r="C356" s="5" t="s">
        <v>703</v>
      </c>
      <c r="D356" s="5" t="s">
        <v>793</v>
      </c>
      <c r="E356" s="5" t="s">
        <v>21</v>
      </c>
      <c r="F356" s="5"/>
    </row>
    <row r="357" spans="1:6" x14ac:dyDescent="0.25">
      <c r="A357" s="5" t="s">
        <v>390</v>
      </c>
      <c r="B357" s="5">
        <v>1</v>
      </c>
      <c r="C357" s="5" t="s">
        <v>703</v>
      </c>
      <c r="D357" s="5" t="s">
        <v>793</v>
      </c>
      <c r="E357" s="5" t="s">
        <v>21</v>
      </c>
      <c r="F357" s="5"/>
    </row>
    <row r="358" spans="1:6" x14ac:dyDescent="0.25">
      <c r="A358" s="5" t="s">
        <v>391</v>
      </c>
      <c r="B358" s="5">
        <v>1</v>
      </c>
      <c r="C358" s="5" t="s">
        <v>703</v>
      </c>
      <c r="D358" s="5" t="s">
        <v>793</v>
      </c>
      <c r="E358" s="5" t="s">
        <v>21</v>
      </c>
      <c r="F358" s="5"/>
    </row>
    <row r="359" spans="1:6" x14ac:dyDescent="0.25">
      <c r="A359" s="5" t="s">
        <v>392</v>
      </c>
      <c r="B359" s="5">
        <v>1</v>
      </c>
      <c r="C359" s="5" t="s">
        <v>703</v>
      </c>
      <c r="D359" s="5" t="s">
        <v>793</v>
      </c>
      <c r="E359" s="5" t="s">
        <v>21</v>
      </c>
      <c r="F359" s="5"/>
    </row>
    <row r="360" spans="1:6" x14ac:dyDescent="0.25">
      <c r="A360" s="5" t="s">
        <v>393</v>
      </c>
      <c r="B360" s="5">
        <v>1</v>
      </c>
      <c r="C360" s="5" t="s">
        <v>80</v>
      </c>
      <c r="D360" s="5" t="s">
        <v>81</v>
      </c>
      <c r="E360" s="5" t="s">
        <v>82</v>
      </c>
      <c r="F360" s="5"/>
    </row>
    <row r="361" spans="1:6" x14ac:dyDescent="0.25">
      <c r="A361" s="5" t="s">
        <v>393</v>
      </c>
      <c r="B361" s="5">
        <v>1</v>
      </c>
      <c r="C361" s="5" t="s">
        <v>77</v>
      </c>
      <c r="D361" s="5" t="s">
        <v>78</v>
      </c>
      <c r="E361" s="5" t="s">
        <v>79</v>
      </c>
      <c r="F361" s="5"/>
    </row>
    <row r="362" spans="1:6" x14ac:dyDescent="0.25">
      <c r="A362" s="5" t="s">
        <v>394</v>
      </c>
      <c r="B362" s="5">
        <v>1</v>
      </c>
      <c r="C362" s="5" t="s">
        <v>77</v>
      </c>
      <c r="D362" s="5" t="s">
        <v>78</v>
      </c>
      <c r="E362" s="5" t="s">
        <v>79</v>
      </c>
      <c r="F362" s="5"/>
    </row>
    <row r="363" spans="1:6" x14ac:dyDescent="0.25">
      <c r="A363" s="5" t="s">
        <v>394</v>
      </c>
      <c r="B363" s="5">
        <v>1</v>
      </c>
      <c r="C363" s="5" t="s">
        <v>80</v>
      </c>
      <c r="D363" s="5" t="s">
        <v>81</v>
      </c>
      <c r="E363" s="5" t="s">
        <v>82</v>
      </c>
      <c r="F363" s="5"/>
    </row>
    <row r="364" spans="1:6" x14ac:dyDescent="0.25">
      <c r="A364" s="5" t="s">
        <v>395</v>
      </c>
      <c r="B364" s="5">
        <v>1</v>
      </c>
      <c r="C364" s="5" t="s">
        <v>396</v>
      </c>
      <c r="D364" s="5" t="s">
        <v>397</v>
      </c>
      <c r="E364" s="5" t="s">
        <v>398</v>
      </c>
      <c r="F364" s="5"/>
    </row>
    <row r="365" spans="1:6" x14ac:dyDescent="0.25">
      <c r="A365" s="5" t="s">
        <v>401</v>
      </c>
      <c r="B365" s="5">
        <v>1</v>
      </c>
      <c r="C365" s="5" t="s">
        <v>402</v>
      </c>
      <c r="D365" s="5" t="s">
        <v>403</v>
      </c>
      <c r="E365" s="5" t="s">
        <v>404</v>
      </c>
      <c r="F365" s="5"/>
    </row>
    <row r="366" spans="1:6" x14ac:dyDescent="0.25">
      <c r="A366" s="5" t="s">
        <v>405</v>
      </c>
      <c r="B366" s="5">
        <v>1</v>
      </c>
      <c r="C366" s="5" t="s">
        <v>22</v>
      </c>
      <c r="D366" s="5" t="s">
        <v>23</v>
      </c>
      <c r="E366" s="5" t="s">
        <v>24</v>
      </c>
      <c r="F366" s="5"/>
    </row>
    <row r="367" spans="1:6" x14ac:dyDescent="0.25">
      <c r="A367" s="5" t="s">
        <v>405</v>
      </c>
      <c r="B367" s="5">
        <v>1</v>
      </c>
      <c r="C367" s="5" t="s">
        <v>914</v>
      </c>
      <c r="D367" s="5" t="s">
        <v>25</v>
      </c>
      <c r="E367" s="5" t="s">
        <v>26</v>
      </c>
      <c r="F367" s="5"/>
    </row>
    <row r="368" spans="1:6" x14ac:dyDescent="0.25">
      <c r="A368" s="5" t="s">
        <v>406</v>
      </c>
      <c r="B368" s="5">
        <v>1</v>
      </c>
      <c r="C368" s="5" t="s">
        <v>407</v>
      </c>
      <c r="D368" s="5" t="s">
        <v>408</v>
      </c>
      <c r="E368" s="5" t="s">
        <v>409</v>
      </c>
      <c r="F368" s="5"/>
    </row>
    <row r="369" spans="1:6" x14ac:dyDescent="0.25">
      <c r="A369" s="5" t="s">
        <v>411</v>
      </c>
      <c r="B369" s="5">
        <v>1</v>
      </c>
      <c r="C369" s="5" t="s">
        <v>80</v>
      </c>
      <c r="D369" s="5" t="s">
        <v>81</v>
      </c>
      <c r="E369" s="5" t="s">
        <v>82</v>
      </c>
      <c r="F369" s="5"/>
    </row>
    <row r="370" spans="1:6" x14ac:dyDescent="0.25">
      <c r="A370" s="5" t="s">
        <v>411</v>
      </c>
      <c r="B370" s="5">
        <v>1</v>
      </c>
      <c r="C370" s="5" t="s">
        <v>77</v>
      </c>
      <c r="D370" s="5" t="s">
        <v>78</v>
      </c>
      <c r="E370" s="5" t="s">
        <v>79</v>
      </c>
      <c r="F370" s="5"/>
    </row>
    <row r="371" spans="1:6" x14ac:dyDescent="0.25">
      <c r="A371" s="5" t="s">
        <v>412</v>
      </c>
      <c r="B371" s="5">
        <v>1</v>
      </c>
      <c r="C371" s="5" t="s">
        <v>413</v>
      </c>
      <c r="D371" s="5" t="s">
        <v>1085</v>
      </c>
      <c r="E371" s="5" t="s">
        <v>415</v>
      </c>
      <c r="F371" s="5"/>
    </row>
    <row r="372" spans="1:6" x14ac:dyDescent="0.25">
      <c r="A372" s="5" t="s">
        <v>416</v>
      </c>
      <c r="B372" s="5">
        <v>1</v>
      </c>
      <c r="C372" s="5" t="s">
        <v>19</v>
      </c>
      <c r="D372" s="5" t="s">
        <v>20</v>
      </c>
      <c r="E372" s="5" t="s">
        <v>1126</v>
      </c>
      <c r="F372" s="5"/>
    </row>
    <row r="373" spans="1:6" x14ac:dyDescent="0.25">
      <c r="A373" s="5" t="s">
        <v>417</v>
      </c>
      <c r="B373" s="5">
        <v>1</v>
      </c>
      <c r="C373" s="5" t="s">
        <v>338</v>
      </c>
      <c r="D373" s="5" t="s">
        <v>339</v>
      </c>
      <c r="E373" s="5" t="s">
        <v>949</v>
      </c>
      <c r="F373" s="5"/>
    </row>
    <row r="374" spans="1:6" x14ac:dyDescent="0.25">
      <c r="A374" s="5" t="s">
        <v>418</v>
      </c>
      <c r="B374" s="5">
        <v>1</v>
      </c>
      <c r="C374" s="5" t="s">
        <v>338</v>
      </c>
      <c r="D374" s="5" t="s">
        <v>339</v>
      </c>
      <c r="E374" s="5" t="s">
        <v>949</v>
      </c>
      <c r="F374" s="5"/>
    </row>
    <row r="375" spans="1:6" x14ac:dyDescent="0.25">
      <c r="A375" s="5" t="s">
        <v>418</v>
      </c>
      <c r="B375" s="5">
        <v>1</v>
      </c>
      <c r="C375" s="5" t="s">
        <v>419</v>
      </c>
      <c r="D375" s="5" t="s">
        <v>420</v>
      </c>
      <c r="E375" s="5" t="s">
        <v>421</v>
      </c>
      <c r="F375" s="5"/>
    </row>
    <row r="376" spans="1:6" x14ac:dyDescent="0.25">
      <c r="A376" s="5" t="s">
        <v>423</v>
      </c>
      <c r="B376" s="5">
        <v>1</v>
      </c>
      <c r="C376" s="5" t="s">
        <v>263</v>
      </c>
      <c r="D376" s="5" t="s">
        <v>264</v>
      </c>
      <c r="E376" s="5" t="s">
        <v>265</v>
      </c>
      <c r="F376" s="5"/>
    </row>
    <row r="377" spans="1:6" x14ac:dyDescent="0.25">
      <c r="A377" s="5" t="s">
        <v>424</v>
      </c>
      <c r="B377" s="5">
        <v>1</v>
      </c>
      <c r="C377" s="5" t="s">
        <v>425</v>
      </c>
      <c r="D377" s="5" t="s">
        <v>426</v>
      </c>
      <c r="E377" s="5" t="s">
        <v>427</v>
      </c>
      <c r="F377" s="5"/>
    </row>
    <row r="378" spans="1:6" x14ac:dyDescent="0.25">
      <c r="A378" s="5" t="s">
        <v>428</v>
      </c>
      <c r="B378" s="5">
        <v>1</v>
      </c>
      <c r="C378" s="5" t="s">
        <v>425</v>
      </c>
      <c r="D378" s="5" t="s">
        <v>426</v>
      </c>
      <c r="E378" s="5" t="s">
        <v>427</v>
      </c>
      <c r="F378" s="5"/>
    </row>
    <row r="379" spans="1:6" x14ac:dyDescent="0.25">
      <c r="A379" s="5" t="s">
        <v>429</v>
      </c>
      <c r="B379" s="5">
        <v>1</v>
      </c>
      <c r="C379" s="5" t="s">
        <v>425</v>
      </c>
      <c r="D379" s="5" t="s">
        <v>426</v>
      </c>
      <c r="E379" s="5" t="s">
        <v>427</v>
      </c>
      <c r="F379" s="5"/>
    </row>
    <row r="380" spans="1:6" x14ac:dyDescent="0.25">
      <c r="A380" s="5" t="s">
        <v>430</v>
      </c>
      <c r="B380" s="5">
        <v>1</v>
      </c>
      <c r="C380" s="5" t="s">
        <v>425</v>
      </c>
      <c r="D380" s="5" t="s">
        <v>426</v>
      </c>
      <c r="E380" s="5" t="s">
        <v>427</v>
      </c>
      <c r="F380" s="5"/>
    </row>
    <row r="381" spans="1:6" x14ac:dyDescent="0.25">
      <c r="A381" s="5" t="s">
        <v>431</v>
      </c>
      <c r="B381" s="5">
        <v>1</v>
      </c>
      <c r="C381" s="5" t="s">
        <v>357</v>
      </c>
      <c r="D381" s="5" t="s">
        <v>358</v>
      </c>
      <c r="E381" s="5" t="s">
        <v>359</v>
      </c>
      <c r="F381" s="5"/>
    </row>
    <row r="382" spans="1:6" x14ac:dyDescent="0.25">
      <c r="A382" s="5" t="s">
        <v>432</v>
      </c>
      <c r="B382" s="5">
        <v>1</v>
      </c>
      <c r="C382" s="5" t="s">
        <v>139</v>
      </c>
      <c r="D382" s="5" t="s">
        <v>140</v>
      </c>
      <c r="E382" s="5" t="s">
        <v>141</v>
      </c>
      <c r="F382" s="5"/>
    </row>
    <row r="383" spans="1:6" x14ac:dyDescent="0.25">
      <c r="A383" s="5" t="s">
        <v>433</v>
      </c>
      <c r="B383" s="5">
        <v>1</v>
      </c>
      <c r="C383" s="5" t="s">
        <v>80</v>
      </c>
      <c r="D383" s="5" t="s">
        <v>81</v>
      </c>
      <c r="E383" s="5" t="s">
        <v>82</v>
      </c>
      <c r="F383" s="5"/>
    </row>
    <row r="384" spans="1:6" x14ac:dyDescent="0.25">
      <c r="A384" s="5" t="s">
        <v>433</v>
      </c>
      <c r="B384" s="5">
        <v>1</v>
      </c>
      <c r="C384" s="5" t="s">
        <v>77</v>
      </c>
      <c r="D384" s="5" t="s">
        <v>78</v>
      </c>
      <c r="E384" s="5" t="s">
        <v>79</v>
      </c>
      <c r="F384" s="5"/>
    </row>
    <row r="385" spans="1:6" x14ac:dyDescent="0.25">
      <c r="A385" s="5" t="s">
        <v>434</v>
      </c>
      <c r="B385" s="5">
        <v>1</v>
      </c>
      <c r="C385" s="5" t="s">
        <v>435</v>
      </c>
      <c r="D385" s="5" t="s">
        <v>436</v>
      </c>
      <c r="E385" s="5" t="s">
        <v>437</v>
      </c>
      <c r="F385" s="5"/>
    </row>
    <row r="386" spans="1:6" x14ac:dyDescent="0.25">
      <c r="A386" s="5" t="s">
        <v>438</v>
      </c>
      <c r="B386" s="5">
        <v>1</v>
      </c>
      <c r="C386" s="5" t="s">
        <v>439</v>
      </c>
      <c r="D386" s="5" t="s">
        <v>440</v>
      </c>
      <c r="E386" s="5" t="s">
        <v>441</v>
      </c>
      <c r="F386" s="5"/>
    </row>
    <row r="387" spans="1:6" x14ac:dyDescent="0.25">
      <c r="A387" s="5" t="s">
        <v>442</v>
      </c>
      <c r="B387" s="5">
        <v>1</v>
      </c>
      <c r="C387" s="5" t="s">
        <v>57</v>
      </c>
      <c r="D387" s="5" t="s">
        <v>58</v>
      </c>
      <c r="E387" s="5" t="s">
        <v>59</v>
      </c>
      <c r="F387" s="5"/>
    </row>
    <row r="388" spans="1:6" x14ac:dyDescent="0.25">
      <c r="A388" s="5" t="s">
        <v>443</v>
      </c>
      <c r="B388" s="5">
        <v>1</v>
      </c>
      <c r="C388" s="5" t="s">
        <v>444</v>
      </c>
      <c r="D388" s="5" t="s">
        <v>445</v>
      </c>
      <c r="E388" s="5" t="s">
        <v>446</v>
      </c>
      <c r="F388" s="5"/>
    </row>
    <row r="389" spans="1:6" x14ac:dyDescent="0.25">
      <c r="A389" s="5" t="s">
        <v>447</v>
      </c>
      <c r="B389" s="5">
        <v>1</v>
      </c>
      <c r="C389" s="5" t="s">
        <v>435</v>
      </c>
      <c r="D389" s="5" t="s">
        <v>436</v>
      </c>
      <c r="E389" s="5" t="s">
        <v>437</v>
      </c>
      <c r="F389" s="5"/>
    </row>
    <row r="390" spans="1:6" x14ac:dyDescent="0.25">
      <c r="A390" s="5" t="s">
        <v>448</v>
      </c>
      <c r="B390" s="5">
        <v>1</v>
      </c>
      <c r="C390" s="5" t="s">
        <v>439</v>
      </c>
      <c r="D390" s="5" t="s">
        <v>440</v>
      </c>
      <c r="E390" s="5" t="s">
        <v>441</v>
      </c>
      <c r="F390" s="5"/>
    </row>
    <row r="391" spans="1:6" x14ac:dyDescent="0.25">
      <c r="A391" s="5" t="s">
        <v>449</v>
      </c>
      <c r="B391" s="5">
        <v>1</v>
      </c>
      <c r="C391" s="5" t="s">
        <v>452</v>
      </c>
      <c r="D391" s="5" t="s">
        <v>453</v>
      </c>
      <c r="E391" s="5" t="s">
        <v>454</v>
      </c>
      <c r="F391" s="5"/>
    </row>
    <row r="392" spans="1:6" x14ac:dyDescent="0.25">
      <c r="A392" s="5" t="s">
        <v>449</v>
      </c>
      <c r="B392" s="5">
        <v>1</v>
      </c>
      <c r="C392" s="5" t="s">
        <v>1021</v>
      </c>
      <c r="D392" s="5" t="s">
        <v>1022</v>
      </c>
      <c r="E392" s="5" t="s">
        <v>451</v>
      </c>
      <c r="F392" s="5"/>
    </row>
    <row r="393" spans="1:6" x14ac:dyDescent="0.25">
      <c r="A393" s="5" t="s">
        <v>455</v>
      </c>
      <c r="B393" s="5">
        <v>1</v>
      </c>
      <c r="C393" s="5" t="s">
        <v>274</v>
      </c>
      <c r="D393" s="5" t="s">
        <v>275</v>
      </c>
      <c r="E393" s="5" t="s">
        <v>276</v>
      </c>
      <c r="F393" s="5"/>
    </row>
    <row r="394" spans="1:6" x14ac:dyDescent="0.25">
      <c r="A394" s="5" t="s">
        <v>456</v>
      </c>
      <c r="B394" s="5">
        <v>1</v>
      </c>
      <c r="C394" s="5" t="s">
        <v>253</v>
      </c>
      <c r="D394" s="5" t="s">
        <v>254</v>
      </c>
      <c r="E394" s="5" t="s">
        <v>255</v>
      </c>
      <c r="F394" s="5"/>
    </row>
    <row r="395" spans="1:6" x14ac:dyDescent="0.25">
      <c r="A395" s="5" t="s">
        <v>457</v>
      </c>
      <c r="B395" s="5">
        <v>1</v>
      </c>
      <c r="C395" s="5" t="s">
        <v>458</v>
      </c>
      <c r="D395" s="5" t="s">
        <v>459</v>
      </c>
      <c r="E395" s="5" t="s">
        <v>460</v>
      </c>
      <c r="F395" s="5"/>
    </row>
    <row r="396" spans="1:6" x14ac:dyDescent="0.25">
      <c r="A396" s="5" t="s">
        <v>461</v>
      </c>
      <c r="B396" s="5">
        <v>1</v>
      </c>
      <c r="C396" s="5" t="s">
        <v>458</v>
      </c>
      <c r="D396" s="5" t="s">
        <v>459</v>
      </c>
      <c r="E396" s="5" t="s">
        <v>460</v>
      </c>
      <c r="F396" s="5"/>
    </row>
    <row r="397" spans="1:6" x14ac:dyDescent="0.25">
      <c r="A397" s="5" t="s">
        <v>462</v>
      </c>
      <c r="B397" s="5">
        <v>1</v>
      </c>
      <c r="C397" s="5" t="s">
        <v>80</v>
      </c>
      <c r="D397" s="5" t="s">
        <v>81</v>
      </c>
      <c r="E397" s="5" t="s">
        <v>82</v>
      </c>
      <c r="F397" s="5"/>
    </row>
    <row r="398" spans="1:6" x14ac:dyDescent="0.25">
      <c r="A398" s="5" t="s">
        <v>462</v>
      </c>
      <c r="B398" s="5">
        <v>1</v>
      </c>
      <c r="C398" s="5" t="s">
        <v>77</v>
      </c>
      <c r="D398" s="5" t="s">
        <v>78</v>
      </c>
      <c r="E398" s="5" t="s">
        <v>79</v>
      </c>
      <c r="F398" s="5"/>
    </row>
    <row r="399" spans="1:6" x14ac:dyDescent="0.25">
      <c r="A399" s="5" t="s">
        <v>463</v>
      </c>
      <c r="B399" s="5">
        <v>1</v>
      </c>
      <c r="C399" s="5" t="s">
        <v>464</v>
      </c>
      <c r="D399" s="5" t="s">
        <v>465</v>
      </c>
      <c r="E399" s="5" t="s">
        <v>466</v>
      </c>
      <c r="F399" s="5"/>
    </row>
    <row r="400" spans="1:6" x14ac:dyDescent="0.25">
      <c r="A400" s="5" t="s">
        <v>467</v>
      </c>
      <c r="B400" s="5">
        <v>1</v>
      </c>
      <c r="C400" s="5" t="s">
        <v>468</v>
      </c>
      <c r="D400" s="5" t="s">
        <v>469</v>
      </c>
      <c r="E400" s="5" t="s">
        <v>470</v>
      </c>
      <c r="F400" s="5"/>
    </row>
    <row r="401" spans="1:6" x14ac:dyDescent="0.25">
      <c r="A401" s="5" t="s">
        <v>471</v>
      </c>
      <c r="B401" s="5">
        <v>1</v>
      </c>
      <c r="C401" s="5" t="s">
        <v>472</v>
      </c>
      <c r="D401" s="5" t="s">
        <v>473</v>
      </c>
      <c r="E401" s="5" t="s">
        <v>474</v>
      </c>
      <c r="F401" s="5"/>
    </row>
    <row r="402" spans="1:6" x14ac:dyDescent="0.25">
      <c r="A402" s="5" t="s">
        <v>475</v>
      </c>
      <c r="B402" s="5">
        <v>1</v>
      </c>
      <c r="C402" s="5" t="s">
        <v>345</v>
      </c>
      <c r="D402" s="5" t="s">
        <v>346</v>
      </c>
      <c r="E402" s="5" t="s">
        <v>347</v>
      </c>
      <c r="F402" s="5"/>
    </row>
    <row r="403" spans="1:6" x14ac:dyDescent="0.25">
      <c r="A403" s="5" t="s">
        <v>476</v>
      </c>
      <c r="B403" s="5">
        <v>1</v>
      </c>
      <c r="C403" s="5" t="s">
        <v>300</v>
      </c>
      <c r="D403" s="5" t="s">
        <v>301</v>
      </c>
      <c r="E403" s="5" t="s">
        <v>302</v>
      </c>
      <c r="F403" s="5"/>
    </row>
    <row r="404" spans="1:6" x14ac:dyDescent="0.25">
      <c r="A404" s="5" t="s">
        <v>478</v>
      </c>
      <c r="B404" s="5">
        <v>1</v>
      </c>
      <c r="C404" s="5" t="s">
        <v>37</v>
      </c>
      <c r="D404" s="5" t="s">
        <v>38</v>
      </c>
      <c r="E404" s="5" t="s">
        <v>39</v>
      </c>
      <c r="F404" s="5"/>
    </row>
    <row r="405" spans="1:6" x14ac:dyDescent="0.25">
      <c r="A405" s="5" t="s">
        <v>479</v>
      </c>
      <c r="B405" s="5">
        <v>1</v>
      </c>
      <c r="C405" s="5" t="s">
        <v>482</v>
      </c>
      <c r="D405" s="5" t="s">
        <v>483</v>
      </c>
      <c r="E405" s="5" t="s">
        <v>484</v>
      </c>
      <c r="F405" s="5"/>
    </row>
    <row r="406" spans="1:6" x14ac:dyDescent="0.25">
      <c r="A406" s="5" t="s">
        <v>479</v>
      </c>
      <c r="B406" s="5">
        <v>1</v>
      </c>
      <c r="C406" s="5" t="s">
        <v>480</v>
      </c>
      <c r="D406" s="5" t="s">
        <v>1023</v>
      </c>
      <c r="E406" s="5" t="s">
        <v>481</v>
      </c>
      <c r="F406" s="5"/>
    </row>
    <row r="407" spans="1:6" x14ac:dyDescent="0.25">
      <c r="A407" s="5" t="s">
        <v>482</v>
      </c>
      <c r="B407" s="5">
        <v>1</v>
      </c>
      <c r="C407" s="5" t="s">
        <v>480</v>
      </c>
      <c r="D407" s="5" t="s">
        <v>1023</v>
      </c>
      <c r="E407" s="5" t="s">
        <v>481</v>
      </c>
      <c r="F407" s="5"/>
    </row>
    <row r="408" spans="1:6" x14ac:dyDescent="0.25">
      <c r="A408" s="5" t="s">
        <v>482</v>
      </c>
      <c r="B408" s="5">
        <v>1</v>
      </c>
      <c r="C408" s="5" t="s">
        <v>482</v>
      </c>
      <c r="D408" s="5" t="s">
        <v>483</v>
      </c>
      <c r="E408" s="5" t="s">
        <v>484</v>
      </c>
      <c r="F408" s="5"/>
    </row>
    <row r="409" spans="1:6" x14ac:dyDescent="0.25">
      <c r="A409" s="5" t="s">
        <v>485</v>
      </c>
      <c r="B409" s="5">
        <v>1</v>
      </c>
      <c r="C409" s="5" t="s">
        <v>77</v>
      </c>
      <c r="D409" s="5" t="s">
        <v>78</v>
      </c>
      <c r="E409" s="5" t="s">
        <v>79</v>
      </c>
      <c r="F409" s="5"/>
    </row>
    <row r="410" spans="1:6" x14ac:dyDescent="0.25">
      <c r="A410" s="5" t="s">
        <v>485</v>
      </c>
      <c r="B410" s="5">
        <v>1</v>
      </c>
      <c r="C410" s="5" t="s">
        <v>80</v>
      </c>
      <c r="D410" s="5" t="s">
        <v>81</v>
      </c>
      <c r="E410" s="5" t="s">
        <v>82</v>
      </c>
      <c r="F410" s="5"/>
    </row>
    <row r="411" spans="1:6" x14ac:dyDescent="0.25">
      <c r="A411" s="5" t="s">
        <v>486</v>
      </c>
      <c r="B411" s="5">
        <v>1</v>
      </c>
      <c r="C411" s="5" t="s">
        <v>19</v>
      </c>
      <c r="D411" s="5" t="s">
        <v>20</v>
      </c>
      <c r="E411" s="5" t="s">
        <v>1126</v>
      </c>
      <c r="F411" s="5"/>
    </row>
    <row r="412" spans="1:6" x14ac:dyDescent="0.25">
      <c r="A412" s="5" t="s">
        <v>487</v>
      </c>
      <c r="B412" s="5">
        <v>1</v>
      </c>
      <c r="C412" s="5" t="s">
        <v>703</v>
      </c>
      <c r="D412" s="5" t="s">
        <v>793</v>
      </c>
      <c r="E412" s="5" t="s">
        <v>21</v>
      </c>
      <c r="F412" s="5"/>
    </row>
    <row r="413" spans="1:6" x14ac:dyDescent="0.25">
      <c r="A413" s="5" t="s">
        <v>487</v>
      </c>
      <c r="B413" s="5">
        <v>1</v>
      </c>
      <c r="C413" s="5" t="s">
        <v>752</v>
      </c>
      <c r="D413" s="5" t="s">
        <v>1011</v>
      </c>
      <c r="E413" s="5" t="s">
        <v>806</v>
      </c>
      <c r="F413" s="5"/>
    </row>
    <row r="414" spans="1:6" x14ac:dyDescent="0.25">
      <c r="A414" s="5" t="s">
        <v>487</v>
      </c>
      <c r="B414" s="5">
        <v>1</v>
      </c>
      <c r="C414" s="5" t="s">
        <v>1159</v>
      </c>
      <c r="D414" s="5" t="s">
        <v>1160</v>
      </c>
      <c r="E414" s="5" t="s">
        <v>809</v>
      </c>
      <c r="F414" s="5"/>
    </row>
    <row r="415" spans="1:6" x14ac:dyDescent="0.25">
      <c r="A415" s="5" t="s">
        <v>488</v>
      </c>
      <c r="B415" s="5">
        <v>1</v>
      </c>
      <c r="C415" s="5" t="s">
        <v>489</v>
      </c>
      <c r="D415" s="5" t="s">
        <v>490</v>
      </c>
      <c r="E415" s="5" t="s">
        <v>491</v>
      </c>
      <c r="F415" s="5"/>
    </row>
    <row r="416" spans="1:6" x14ac:dyDescent="0.25">
      <c r="A416" s="5" t="s">
        <v>492</v>
      </c>
      <c r="B416" s="5">
        <v>1</v>
      </c>
      <c r="C416" s="5" t="s">
        <v>19</v>
      </c>
      <c r="D416" s="5" t="s">
        <v>20</v>
      </c>
      <c r="E416" s="5" t="s">
        <v>1126</v>
      </c>
      <c r="F416" s="5"/>
    </row>
    <row r="417" spans="1:6" x14ac:dyDescent="0.25">
      <c r="A417" s="5" t="s">
        <v>493</v>
      </c>
      <c r="B417" s="5">
        <v>1</v>
      </c>
      <c r="C417" s="5" t="s">
        <v>435</v>
      </c>
      <c r="D417" s="5" t="s">
        <v>436</v>
      </c>
      <c r="E417" s="5" t="s">
        <v>437</v>
      </c>
      <c r="F417" s="5"/>
    </row>
    <row r="418" spans="1:6" x14ac:dyDescent="0.25">
      <c r="A418" s="5" t="s">
        <v>494</v>
      </c>
      <c r="B418" s="5">
        <v>1</v>
      </c>
      <c r="C418" s="5" t="s">
        <v>22</v>
      </c>
      <c r="D418" s="5" t="s">
        <v>23</v>
      </c>
      <c r="E418" s="5" t="s">
        <v>24</v>
      </c>
      <c r="F418" s="5"/>
    </row>
    <row r="419" spans="1:6" x14ac:dyDescent="0.25">
      <c r="A419" s="5" t="s">
        <v>494</v>
      </c>
      <c r="B419" s="5">
        <v>1</v>
      </c>
      <c r="C419" s="5" t="s">
        <v>914</v>
      </c>
      <c r="D419" s="5" t="s">
        <v>25</v>
      </c>
      <c r="E419" s="5" t="s">
        <v>26</v>
      </c>
      <c r="F419" s="5"/>
    </row>
    <row r="420" spans="1:6" x14ac:dyDescent="0.25">
      <c r="A420" s="5" t="s">
        <v>495</v>
      </c>
      <c r="B420" s="5">
        <v>1</v>
      </c>
      <c r="C420" s="5" t="s">
        <v>914</v>
      </c>
      <c r="D420" s="5" t="s">
        <v>25</v>
      </c>
      <c r="E420" s="5" t="s">
        <v>26</v>
      </c>
      <c r="F420" s="5"/>
    </row>
    <row r="421" spans="1:6" x14ac:dyDescent="0.25">
      <c r="A421" s="5" t="s">
        <v>495</v>
      </c>
      <c r="B421" s="5">
        <v>1</v>
      </c>
      <c r="C421" s="5" t="s">
        <v>22</v>
      </c>
      <c r="D421" s="5" t="s">
        <v>23</v>
      </c>
      <c r="E421" s="5" t="s">
        <v>24</v>
      </c>
      <c r="F421" s="5"/>
    </row>
    <row r="422" spans="1:6" x14ac:dyDescent="0.25">
      <c r="A422" s="5" t="s">
        <v>496</v>
      </c>
      <c r="B422" s="5">
        <v>1</v>
      </c>
      <c r="C422" s="5" t="s">
        <v>77</v>
      </c>
      <c r="D422" s="5" t="s">
        <v>78</v>
      </c>
      <c r="E422" s="5" t="s">
        <v>79</v>
      </c>
      <c r="F422" s="5"/>
    </row>
    <row r="423" spans="1:6" x14ac:dyDescent="0.25">
      <c r="A423" s="5" t="s">
        <v>496</v>
      </c>
      <c r="B423" s="5">
        <v>1</v>
      </c>
      <c r="C423" s="5" t="s">
        <v>80</v>
      </c>
      <c r="D423" s="5" t="s">
        <v>81</v>
      </c>
      <c r="E423" s="5" t="s">
        <v>82</v>
      </c>
      <c r="F423" s="5"/>
    </row>
    <row r="424" spans="1:6" x14ac:dyDescent="0.25">
      <c r="A424" s="5" t="s">
        <v>496</v>
      </c>
      <c r="B424" s="5">
        <v>1</v>
      </c>
      <c r="C424" s="5" t="s">
        <v>497</v>
      </c>
      <c r="D424" s="5" t="s">
        <v>498</v>
      </c>
      <c r="E424" s="5" t="s">
        <v>499</v>
      </c>
      <c r="F424" s="5"/>
    </row>
    <row r="425" spans="1:6" x14ac:dyDescent="0.25">
      <c r="A425" s="5" t="s">
        <v>15</v>
      </c>
      <c r="B425" s="5">
        <v>1</v>
      </c>
      <c r="C425" s="5" t="s">
        <v>12</v>
      </c>
      <c r="D425" s="5" t="s">
        <v>13</v>
      </c>
      <c r="E425" s="5" t="s">
        <v>14</v>
      </c>
      <c r="F425" s="5"/>
    </row>
    <row r="426" spans="1:6" x14ac:dyDescent="0.25">
      <c r="A426" s="5" t="s">
        <v>15</v>
      </c>
      <c r="B426" s="5">
        <v>1</v>
      </c>
      <c r="C426" s="5" t="s">
        <v>15</v>
      </c>
      <c r="D426" s="5" t="s">
        <v>16</v>
      </c>
      <c r="E426" s="5" t="s">
        <v>17</v>
      </c>
      <c r="F426" s="5"/>
    </row>
    <row r="427" spans="1:6" x14ac:dyDescent="0.25">
      <c r="A427" s="5" t="s">
        <v>500</v>
      </c>
      <c r="B427" s="5">
        <v>1</v>
      </c>
      <c r="C427" s="5" t="s">
        <v>703</v>
      </c>
      <c r="D427" s="5" t="s">
        <v>793</v>
      </c>
      <c r="E427" s="5" t="s">
        <v>21</v>
      </c>
      <c r="F427" s="5"/>
    </row>
    <row r="428" spans="1:6" x14ac:dyDescent="0.25">
      <c r="A428" s="5" t="s">
        <v>501</v>
      </c>
      <c r="B428" s="5">
        <v>1</v>
      </c>
      <c r="C428" s="5" t="s">
        <v>703</v>
      </c>
      <c r="D428" s="5" t="s">
        <v>793</v>
      </c>
      <c r="E428" s="5" t="s">
        <v>21</v>
      </c>
      <c r="F428" s="5"/>
    </row>
    <row r="429" spans="1:6" x14ac:dyDescent="0.25">
      <c r="A429" s="5" t="s">
        <v>502</v>
      </c>
      <c r="B429" s="5">
        <v>1</v>
      </c>
      <c r="C429" s="5" t="s">
        <v>703</v>
      </c>
      <c r="D429" s="5" t="s">
        <v>793</v>
      </c>
      <c r="E429" s="5" t="s">
        <v>21</v>
      </c>
      <c r="F429" s="5"/>
    </row>
    <row r="430" spans="1:6" x14ac:dyDescent="0.25">
      <c r="A430" s="5" t="s">
        <v>503</v>
      </c>
      <c r="B430" s="5">
        <v>1</v>
      </c>
      <c r="C430" s="5" t="s">
        <v>703</v>
      </c>
      <c r="D430" s="5" t="s">
        <v>793</v>
      </c>
      <c r="E430" s="5" t="s">
        <v>21</v>
      </c>
      <c r="F430" s="5"/>
    </row>
    <row r="431" spans="1:6" x14ac:dyDescent="0.25">
      <c r="A431" s="5" t="s">
        <v>1175</v>
      </c>
      <c r="B431" s="5">
        <v>1</v>
      </c>
      <c r="C431" s="5" t="s">
        <v>321</v>
      </c>
      <c r="D431" s="5" t="s">
        <v>322</v>
      </c>
      <c r="E431" s="5" t="s">
        <v>910</v>
      </c>
      <c r="F431" s="5"/>
    </row>
    <row r="432" spans="1:6" x14ac:dyDescent="0.25">
      <c r="A432" s="5" t="s">
        <v>1176</v>
      </c>
      <c r="B432" s="5">
        <v>1</v>
      </c>
      <c r="C432" s="5" t="s">
        <v>321</v>
      </c>
      <c r="D432" s="5" t="s">
        <v>322</v>
      </c>
      <c r="E432" s="5" t="s">
        <v>910</v>
      </c>
      <c r="F432" s="5"/>
    </row>
    <row r="433" spans="1:6" x14ac:dyDescent="0.25">
      <c r="A433" s="5" t="s">
        <v>321</v>
      </c>
      <c r="B433" s="5">
        <v>1</v>
      </c>
      <c r="C433" s="5" t="s">
        <v>321</v>
      </c>
      <c r="D433" s="5" t="s">
        <v>322</v>
      </c>
      <c r="E433" s="5" t="s">
        <v>910</v>
      </c>
      <c r="F433" s="5"/>
    </row>
    <row r="434" spans="1:6" x14ac:dyDescent="0.25">
      <c r="A434" s="5" t="s">
        <v>321</v>
      </c>
      <c r="B434" s="5">
        <v>1</v>
      </c>
      <c r="C434" s="5" t="s">
        <v>504</v>
      </c>
      <c r="D434" s="5" t="s">
        <v>505</v>
      </c>
      <c r="E434" s="5" t="s">
        <v>506</v>
      </c>
      <c r="F434" s="5"/>
    </row>
    <row r="435" spans="1:6" x14ac:dyDescent="0.25">
      <c r="A435" s="5" t="s">
        <v>509</v>
      </c>
      <c r="B435" s="5">
        <v>1</v>
      </c>
      <c r="C435" s="5" t="s">
        <v>510</v>
      </c>
      <c r="D435" s="5" t="s">
        <v>511</v>
      </c>
      <c r="E435" s="5" t="s">
        <v>512</v>
      </c>
      <c r="F435" s="5"/>
    </row>
    <row r="436" spans="1:6" x14ac:dyDescent="0.25">
      <c r="A436" s="5" t="s">
        <v>513</v>
      </c>
      <c r="B436" s="5">
        <v>1</v>
      </c>
      <c r="C436" s="5" t="s">
        <v>318</v>
      </c>
      <c r="D436" s="5" t="s">
        <v>319</v>
      </c>
      <c r="E436" s="5" t="s">
        <v>320</v>
      </c>
      <c r="F436" s="5"/>
    </row>
    <row r="437" spans="1:6" x14ac:dyDescent="0.25">
      <c r="A437" s="5" t="s">
        <v>514</v>
      </c>
      <c r="B437" s="5">
        <v>1</v>
      </c>
      <c r="C437" s="5" t="s">
        <v>515</v>
      </c>
      <c r="D437" s="5" t="s">
        <v>516</v>
      </c>
      <c r="E437" s="5" t="s">
        <v>517</v>
      </c>
      <c r="F437" s="5"/>
    </row>
    <row r="438" spans="1:6" x14ac:dyDescent="0.25">
      <c r="A438" s="5" t="s">
        <v>514</v>
      </c>
      <c r="B438" s="5">
        <v>1</v>
      </c>
      <c r="C438" s="5" t="s">
        <v>239</v>
      </c>
      <c r="D438" s="5" t="s">
        <v>240</v>
      </c>
      <c r="E438" s="5" t="s">
        <v>241</v>
      </c>
      <c r="F438" s="5"/>
    </row>
    <row r="439" spans="1:6" x14ac:dyDescent="0.25">
      <c r="A439" s="5" t="s">
        <v>514</v>
      </c>
      <c r="B439" s="5">
        <v>1</v>
      </c>
      <c r="C439" s="5" t="s">
        <v>518</v>
      </c>
      <c r="D439" s="5" t="s">
        <v>519</v>
      </c>
      <c r="E439" s="5" t="s">
        <v>520</v>
      </c>
      <c r="F439" s="5"/>
    </row>
    <row r="440" spans="1:6" x14ac:dyDescent="0.25">
      <c r="A440" s="5" t="s">
        <v>521</v>
      </c>
      <c r="B440" s="5">
        <v>1</v>
      </c>
      <c r="C440" s="5" t="s">
        <v>292</v>
      </c>
      <c r="D440" s="5" t="s">
        <v>293</v>
      </c>
      <c r="E440" s="5" t="s">
        <v>294</v>
      </c>
      <c r="F440" s="5"/>
    </row>
    <row r="441" spans="1:6" x14ac:dyDescent="0.25">
      <c r="A441" s="5" t="s">
        <v>522</v>
      </c>
      <c r="B441" s="5">
        <v>1</v>
      </c>
      <c r="C441" s="5" t="s">
        <v>523</v>
      </c>
      <c r="D441" s="5" t="s">
        <v>524</v>
      </c>
      <c r="E441" s="5" t="s">
        <v>525</v>
      </c>
      <c r="F441" s="5"/>
    </row>
    <row r="442" spans="1:6" x14ac:dyDescent="0.25">
      <c r="A442" s="5" t="s">
        <v>526</v>
      </c>
      <c r="B442" s="5">
        <v>1</v>
      </c>
      <c r="C442" s="5" t="s">
        <v>80</v>
      </c>
      <c r="D442" s="5" t="s">
        <v>81</v>
      </c>
      <c r="E442" s="5" t="s">
        <v>82</v>
      </c>
      <c r="F442" s="5"/>
    </row>
    <row r="443" spans="1:6" x14ac:dyDescent="0.25">
      <c r="A443" s="5" t="s">
        <v>526</v>
      </c>
      <c r="B443" s="5">
        <v>1</v>
      </c>
      <c r="C443" s="5" t="s">
        <v>77</v>
      </c>
      <c r="D443" s="5" t="s">
        <v>78</v>
      </c>
      <c r="E443" s="5" t="s">
        <v>79</v>
      </c>
      <c r="F443" s="5"/>
    </row>
    <row r="444" spans="1:6" x14ac:dyDescent="0.25">
      <c r="A444" s="5" t="s">
        <v>527</v>
      </c>
      <c r="B444" s="5">
        <v>1</v>
      </c>
      <c r="C444" s="5" t="s">
        <v>523</v>
      </c>
      <c r="D444" s="5" t="s">
        <v>524</v>
      </c>
      <c r="E444" s="5" t="s">
        <v>525</v>
      </c>
      <c r="F444" s="5"/>
    </row>
    <row r="445" spans="1:6" x14ac:dyDescent="0.25">
      <c r="A445" s="5" t="s">
        <v>528</v>
      </c>
      <c r="B445" s="5">
        <v>1</v>
      </c>
      <c r="C445" s="5" t="s">
        <v>523</v>
      </c>
      <c r="D445" s="5" t="s">
        <v>524</v>
      </c>
      <c r="E445" s="5" t="s">
        <v>525</v>
      </c>
      <c r="F445" s="5"/>
    </row>
    <row r="446" spans="1:6" x14ac:dyDescent="0.25">
      <c r="A446" s="5" t="s">
        <v>523</v>
      </c>
      <c r="B446" s="5">
        <v>1</v>
      </c>
      <c r="C446" s="5" t="s">
        <v>523</v>
      </c>
      <c r="D446" s="5" t="s">
        <v>524</v>
      </c>
      <c r="E446" s="5" t="s">
        <v>525</v>
      </c>
      <c r="F446" s="5"/>
    </row>
    <row r="447" spans="1:6" x14ac:dyDescent="0.25">
      <c r="A447" s="5" t="s">
        <v>1177</v>
      </c>
      <c r="B447" s="5">
        <v>1</v>
      </c>
      <c r="C447" s="5" t="s">
        <v>146</v>
      </c>
      <c r="D447" s="5" t="s">
        <v>147</v>
      </c>
      <c r="E447" s="5" t="s">
        <v>148</v>
      </c>
      <c r="F447" s="5"/>
    </row>
    <row r="448" spans="1:6" x14ac:dyDescent="0.25">
      <c r="A448" s="5" t="s">
        <v>1178</v>
      </c>
      <c r="B448" s="5">
        <v>1</v>
      </c>
      <c r="C448" s="5" t="s">
        <v>146</v>
      </c>
      <c r="D448" s="5" t="s">
        <v>147</v>
      </c>
      <c r="E448" s="5" t="s">
        <v>148</v>
      </c>
      <c r="F448" s="5"/>
    </row>
    <row r="449" spans="1:6" x14ac:dyDescent="0.25">
      <c r="A449" s="5" t="s">
        <v>530</v>
      </c>
      <c r="B449" s="5">
        <v>1</v>
      </c>
      <c r="C449" s="5" t="s">
        <v>531</v>
      </c>
      <c r="D449" s="5" t="s">
        <v>532</v>
      </c>
      <c r="E449" s="5" t="s">
        <v>533</v>
      </c>
      <c r="F449" s="5"/>
    </row>
    <row r="450" spans="1:6" x14ac:dyDescent="0.25">
      <c r="A450" s="5" t="s">
        <v>1179</v>
      </c>
      <c r="B450" s="5">
        <v>1</v>
      </c>
      <c r="C450" s="5" t="s">
        <v>321</v>
      </c>
      <c r="D450" s="5" t="s">
        <v>322</v>
      </c>
      <c r="E450" s="5" t="s">
        <v>910</v>
      </c>
      <c r="F450" s="5"/>
    </row>
    <row r="451" spans="1:6" x14ac:dyDescent="0.25">
      <c r="A451" s="5" t="s">
        <v>534</v>
      </c>
      <c r="B451" s="5">
        <v>1</v>
      </c>
      <c r="C451" s="5" t="s">
        <v>257</v>
      </c>
      <c r="D451" s="5" t="s">
        <v>258</v>
      </c>
      <c r="E451" s="5" t="s">
        <v>259</v>
      </c>
      <c r="F451" s="5"/>
    </row>
    <row r="452" spans="1:6" x14ac:dyDescent="0.25">
      <c r="A452" s="5" t="s">
        <v>535</v>
      </c>
      <c r="B452" s="5">
        <v>1</v>
      </c>
      <c r="C452" s="5" t="s">
        <v>536</v>
      </c>
      <c r="D452" s="5" t="s">
        <v>537</v>
      </c>
      <c r="E452" s="5" t="s">
        <v>538</v>
      </c>
      <c r="F452" s="5"/>
    </row>
    <row r="453" spans="1:6" x14ac:dyDescent="0.25">
      <c r="A453" s="5" t="s">
        <v>539</v>
      </c>
      <c r="B453" s="5">
        <v>1</v>
      </c>
      <c r="C453" s="5" t="s">
        <v>536</v>
      </c>
      <c r="D453" s="5" t="s">
        <v>537</v>
      </c>
      <c r="E453" s="5" t="s">
        <v>538</v>
      </c>
      <c r="F453" s="5"/>
    </row>
    <row r="454" spans="1:6" x14ac:dyDescent="0.25">
      <c r="A454" s="5" t="s">
        <v>540</v>
      </c>
      <c r="B454" s="5">
        <v>1</v>
      </c>
      <c r="C454" s="5" t="s">
        <v>257</v>
      </c>
      <c r="D454" s="5" t="s">
        <v>258</v>
      </c>
      <c r="E454" s="5" t="s">
        <v>259</v>
      </c>
      <c r="F454" s="5"/>
    </row>
    <row r="455" spans="1:6" x14ac:dyDescent="0.25">
      <c r="A455" s="5" t="s">
        <v>541</v>
      </c>
      <c r="B455" s="5">
        <v>1</v>
      </c>
      <c r="C455" s="5" t="s">
        <v>257</v>
      </c>
      <c r="D455" s="5" t="s">
        <v>258</v>
      </c>
      <c r="E455" s="5" t="s">
        <v>259</v>
      </c>
      <c r="F455" s="5"/>
    </row>
    <row r="456" spans="1:6" x14ac:dyDescent="0.25">
      <c r="A456" s="5" t="s">
        <v>542</v>
      </c>
      <c r="B456" s="5">
        <v>1</v>
      </c>
      <c r="C456" s="5" t="s">
        <v>357</v>
      </c>
      <c r="D456" s="5" t="s">
        <v>358</v>
      </c>
      <c r="E456" s="5" t="s">
        <v>359</v>
      </c>
      <c r="F456" s="5"/>
    </row>
    <row r="457" spans="1:6" x14ac:dyDescent="0.25">
      <c r="A457" s="5" t="s">
        <v>545</v>
      </c>
      <c r="B457" s="5">
        <v>1</v>
      </c>
      <c r="C457" s="5" t="s">
        <v>703</v>
      </c>
      <c r="D457" s="5" t="s">
        <v>793</v>
      </c>
      <c r="E457" s="5" t="s">
        <v>21</v>
      </c>
      <c r="F457" s="5"/>
    </row>
    <row r="458" spans="1:6" x14ac:dyDescent="0.25">
      <c r="A458" s="5" t="s">
        <v>546</v>
      </c>
      <c r="B458" s="5">
        <v>1</v>
      </c>
      <c r="C458" s="5" t="s">
        <v>550</v>
      </c>
      <c r="D458" s="5" t="s">
        <v>754</v>
      </c>
      <c r="E458" s="5" t="s">
        <v>551</v>
      </c>
      <c r="F458" s="5"/>
    </row>
    <row r="459" spans="1:6" x14ac:dyDescent="0.25">
      <c r="A459" s="5" t="s">
        <v>546</v>
      </c>
      <c r="B459" s="5">
        <v>1</v>
      </c>
      <c r="C459" s="5" t="s">
        <v>547</v>
      </c>
      <c r="D459" s="5" t="s">
        <v>548</v>
      </c>
      <c r="E459" s="5" t="s">
        <v>549</v>
      </c>
      <c r="F459" s="5"/>
    </row>
    <row r="460" spans="1:6" x14ac:dyDescent="0.25">
      <c r="A460" s="5" t="s">
        <v>552</v>
      </c>
      <c r="B460" s="5">
        <v>1</v>
      </c>
      <c r="C460" s="5" t="s">
        <v>553</v>
      </c>
      <c r="D460" s="5" t="s">
        <v>554</v>
      </c>
      <c r="E460" s="5" t="s">
        <v>555</v>
      </c>
      <c r="F460" s="5"/>
    </row>
    <row r="461" spans="1:6" x14ac:dyDescent="0.25">
      <c r="A461" s="5" t="s">
        <v>556</v>
      </c>
      <c r="B461" s="5">
        <v>1</v>
      </c>
      <c r="C461" s="5" t="s">
        <v>497</v>
      </c>
      <c r="D461" s="5" t="s">
        <v>498</v>
      </c>
      <c r="E461" s="5" t="s">
        <v>499</v>
      </c>
      <c r="F461" s="5"/>
    </row>
    <row r="462" spans="1:6" x14ac:dyDescent="0.25">
      <c r="A462" s="5" t="s">
        <v>557</v>
      </c>
      <c r="B462" s="5">
        <v>1</v>
      </c>
      <c r="C462" s="5" t="s">
        <v>497</v>
      </c>
      <c r="D462" s="5" t="s">
        <v>498</v>
      </c>
      <c r="E462" s="5" t="s">
        <v>499</v>
      </c>
      <c r="F462" s="5"/>
    </row>
    <row r="463" spans="1:6" x14ac:dyDescent="0.25">
      <c r="A463" s="5" t="s">
        <v>558</v>
      </c>
      <c r="B463" s="5">
        <v>1</v>
      </c>
      <c r="C463" s="5" t="s">
        <v>37</v>
      </c>
      <c r="D463" s="5" t="s">
        <v>38</v>
      </c>
      <c r="E463" s="5" t="s">
        <v>39</v>
      </c>
      <c r="F463" s="5"/>
    </row>
    <row r="464" spans="1:6" x14ac:dyDescent="0.25">
      <c r="A464" s="5" t="s">
        <v>558</v>
      </c>
      <c r="B464" s="5">
        <v>1</v>
      </c>
      <c r="C464" s="5" t="s">
        <v>413</v>
      </c>
      <c r="D464" s="5" t="s">
        <v>1085</v>
      </c>
      <c r="E464" s="5" t="s">
        <v>415</v>
      </c>
      <c r="F464" s="5"/>
    </row>
    <row r="465" spans="1:6" x14ac:dyDescent="0.25">
      <c r="A465" s="5" t="s">
        <v>559</v>
      </c>
      <c r="B465" s="5">
        <v>1</v>
      </c>
      <c r="C465" s="5" t="s">
        <v>413</v>
      </c>
      <c r="D465" s="5" t="s">
        <v>1085</v>
      </c>
      <c r="E465" s="5" t="s">
        <v>415</v>
      </c>
      <c r="F465" s="5"/>
    </row>
    <row r="466" spans="1:6" x14ac:dyDescent="0.25">
      <c r="A466" s="5" t="s">
        <v>560</v>
      </c>
      <c r="B466" s="5">
        <v>1</v>
      </c>
      <c r="C466" s="5" t="s">
        <v>37</v>
      </c>
      <c r="D466" s="5" t="s">
        <v>38</v>
      </c>
      <c r="E466" s="5" t="s">
        <v>39</v>
      </c>
      <c r="F466" s="5"/>
    </row>
    <row r="467" spans="1:6" x14ac:dyDescent="0.25">
      <c r="A467" s="5" t="s">
        <v>560</v>
      </c>
      <c r="B467" s="5">
        <v>1</v>
      </c>
      <c r="C467" s="5" t="s">
        <v>413</v>
      </c>
      <c r="D467" s="5" t="s">
        <v>1085</v>
      </c>
      <c r="E467" s="5" t="s">
        <v>415</v>
      </c>
      <c r="F467" s="5"/>
    </row>
    <row r="468" spans="1:6" x14ac:dyDescent="0.25">
      <c r="A468" s="5" t="s">
        <v>561</v>
      </c>
      <c r="B468" s="5">
        <v>1</v>
      </c>
      <c r="C468" s="5" t="s">
        <v>413</v>
      </c>
      <c r="D468" s="5" t="s">
        <v>1085</v>
      </c>
      <c r="E468" s="5" t="s">
        <v>415</v>
      </c>
      <c r="F468" s="5"/>
    </row>
    <row r="469" spans="1:6" x14ac:dyDescent="0.25">
      <c r="A469" s="5" t="s">
        <v>562</v>
      </c>
      <c r="B469" s="5">
        <v>1</v>
      </c>
      <c r="C469" s="5" t="s">
        <v>146</v>
      </c>
      <c r="D469" s="5" t="s">
        <v>147</v>
      </c>
      <c r="E469" s="5" t="s">
        <v>148</v>
      </c>
      <c r="F469" s="5"/>
    </row>
    <row r="470" spans="1:6" x14ac:dyDescent="0.25">
      <c r="A470" s="5" t="s">
        <v>563</v>
      </c>
      <c r="B470" s="5">
        <v>1</v>
      </c>
      <c r="C470" s="5" t="s">
        <v>413</v>
      </c>
      <c r="D470" s="5" t="s">
        <v>1085</v>
      </c>
      <c r="E470" s="5" t="s">
        <v>415</v>
      </c>
      <c r="F470" s="5"/>
    </row>
    <row r="471" spans="1:6" x14ac:dyDescent="0.25">
      <c r="A471" s="5" t="s">
        <v>564</v>
      </c>
      <c r="B471" s="5">
        <v>1</v>
      </c>
      <c r="C471" s="5" t="s">
        <v>564</v>
      </c>
      <c r="D471" s="5" t="s">
        <v>565</v>
      </c>
      <c r="E471" s="5" t="s">
        <v>566</v>
      </c>
      <c r="F471" s="5"/>
    </row>
    <row r="472" spans="1:6" x14ac:dyDescent="0.25">
      <c r="A472" s="5" t="s">
        <v>564</v>
      </c>
      <c r="B472" s="5">
        <v>1</v>
      </c>
      <c r="C472" s="5" t="s">
        <v>567</v>
      </c>
      <c r="D472" s="5" t="s">
        <v>568</v>
      </c>
      <c r="E472" s="5" t="s">
        <v>569</v>
      </c>
      <c r="F472" s="5"/>
    </row>
    <row r="473" spans="1:6" x14ac:dyDescent="0.25">
      <c r="A473" s="5" t="s">
        <v>570</v>
      </c>
      <c r="B473" s="5">
        <v>1</v>
      </c>
      <c r="C473" s="5" t="s">
        <v>338</v>
      </c>
      <c r="D473" s="5" t="s">
        <v>339</v>
      </c>
      <c r="E473" s="5" t="s">
        <v>949</v>
      </c>
      <c r="F473" s="5"/>
    </row>
    <row r="474" spans="1:6" x14ac:dyDescent="0.25">
      <c r="A474" s="5" t="s">
        <v>570</v>
      </c>
      <c r="B474" s="5">
        <v>1</v>
      </c>
      <c r="C474" s="5" t="s">
        <v>571</v>
      </c>
      <c r="D474" s="5" t="s">
        <v>572</v>
      </c>
      <c r="E474" s="5" t="s">
        <v>573</v>
      </c>
      <c r="F474" s="5"/>
    </row>
    <row r="475" spans="1:6" x14ac:dyDescent="0.25">
      <c r="A475" s="5" t="s">
        <v>575</v>
      </c>
      <c r="B475" s="5">
        <v>1</v>
      </c>
      <c r="C475" s="5" t="s">
        <v>435</v>
      </c>
      <c r="D475" s="5" t="s">
        <v>436</v>
      </c>
      <c r="E475" s="5" t="s">
        <v>437</v>
      </c>
      <c r="F475" s="5"/>
    </row>
    <row r="476" spans="1:6" x14ac:dyDescent="0.25">
      <c r="A476" s="5" t="s">
        <v>576</v>
      </c>
      <c r="B476" s="5">
        <v>1</v>
      </c>
      <c r="C476" s="5" t="s">
        <v>184</v>
      </c>
      <c r="D476" s="5" t="s">
        <v>185</v>
      </c>
      <c r="E476" s="5" t="s">
        <v>186</v>
      </c>
      <c r="F476" s="5"/>
    </row>
    <row r="477" spans="1:6" x14ac:dyDescent="0.25">
      <c r="A477" s="5" t="s">
        <v>577</v>
      </c>
      <c r="B477" s="5">
        <v>1</v>
      </c>
      <c r="C477" s="5" t="s">
        <v>578</v>
      </c>
      <c r="D477" s="5" t="s">
        <v>579</v>
      </c>
      <c r="E477" s="5" t="s">
        <v>580</v>
      </c>
      <c r="F477" s="5"/>
    </row>
    <row r="478" spans="1:6" x14ac:dyDescent="0.25">
      <c r="A478" s="5" t="s">
        <v>581</v>
      </c>
      <c r="B478" s="5">
        <v>1</v>
      </c>
      <c r="C478" s="5" t="s">
        <v>413</v>
      </c>
      <c r="D478" s="5" t="s">
        <v>1085</v>
      </c>
      <c r="E478" s="5" t="s">
        <v>415</v>
      </c>
      <c r="F478" s="5"/>
    </row>
    <row r="479" spans="1:6" x14ac:dyDescent="0.25">
      <c r="A479" s="5" t="s">
        <v>581</v>
      </c>
      <c r="B479" s="5">
        <v>1</v>
      </c>
      <c r="C479" s="5" t="s">
        <v>458</v>
      </c>
      <c r="D479" s="5" t="s">
        <v>459</v>
      </c>
      <c r="E479" s="5" t="s">
        <v>460</v>
      </c>
      <c r="F479" s="5"/>
    </row>
    <row r="480" spans="1:6" x14ac:dyDescent="0.25">
      <c r="A480" s="5" t="s">
        <v>582</v>
      </c>
      <c r="B480" s="5">
        <v>1</v>
      </c>
      <c r="C480" s="5" t="s">
        <v>458</v>
      </c>
      <c r="D480" s="5" t="s">
        <v>459</v>
      </c>
      <c r="E480" s="5" t="s">
        <v>460</v>
      </c>
      <c r="F480" s="5"/>
    </row>
    <row r="481" spans="1:6" x14ac:dyDescent="0.25">
      <c r="A481" s="5" t="s">
        <v>583</v>
      </c>
      <c r="B481" s="5">
        <v>1</v>
      </c>
      <c r="C481" s="5" t="s">
        <v>439</v>
      </c>
      <c r="D481" s="5" t="s">
        <v>440</v>
      </c>
      <c r="E481" s="5" t="s">
        <v>441</v>
      </c>
      <c r="F481" s="5"/>
    </row>
    <row r="482" spans="1:6" x14ac:dyDescent="0.25">
      <c r="A482" s="5" t="s">
        <v>584</v>
      </c>
      <c r="B482" s="5">
        <v>1</v>
      </c>
      <c r="C482" s="5" t="s">
        <v>439</v>
      </c>
      <c r="D482" s="5" t="s">
        <v>440</v>
      </c>
      <c r="E482" s="5" t="s">
        <v>441</v>
      </c>
      <c r="F482" s="5"/>
    </row>
    <row r="483" spans="1:6" x14ac:dyDescent="0.25">
      <c r="A483" s="5" t="s">
        <v>585</v>
      </c>
      <c r="B483" s="5">
        <v>1</v>
      </c>
      <c r="C483" s="5" t="s">
        <v>300</v>
      </c>
      <c r="D483" s="5" t="s">
        <v>301</v>
      </c>
      <c r="E483" s="5" t="s">
        <v>302</v>
      </c>
      <c r="F483" s="5"/>
    </row>
    <row r="484" spans="1:6" x14ac:dyDescent="0.25">
      <c r="A484" s="5" t="s">
        <v>586</v>
      </c>
      <c r="B484" s="5">
        <v>1</v>
      </c>
      <c r="C484" s="5" t="s">
        <v>703</v>
      </c>
      <c r="D484" s="5" t="s">
        <v>793</v>
      </c>
      <c r="E484" s="5" t="s">
        <v>21</v>
      </c>
      <c r="F484" s="5"/>
    </row>
    <row r="485" spans="1:6" x14ac:dyDescent="0.25">
      <c r="A485" s="5" t="s">
        <v>587</v>
      </c>
      <c r="B485" s="5">
        <v>1</v>
      </c>
      <c r="C485" s="5" t="s">
        <v>703</v>
      </c>
      <c r="D485" s="5" t="s">
        <v>793</v>
      </c>
      <c r="E485" s="5" t="s">
        <v>21</v>
      </c>
      <c r="F485" s="5"/>
    </row>
    <row r="486" spans="1:6" x14ac:dyDescent="0.25">
      <c r="A486" s="5" t="s">
        <v>588</v>
      </c>
      <c r="B486" s="5">
        <v>1</v>
      </c>
      <c r="C486" s="5" t="s">
        <v>19</v>
      </c>
      <c r="D486" s="5" t="s">
        <v>20</v>
      </c>
      <c r="E486" s="5" t="s">
        <v>1126</v>
      </c>
      <c r="F486" s="5"/>
    </row>
    <row r="487" spans="1:6" x14ac:dyDescent="0.25">
      <c r="A487" s="5" t="s">
        <v>589</v>
      </c>
      <c r="B487" s="5">
        <v>1</v>
      </c>
      <c r="C487" s="5" t="s">
        <v>590</v>
      </c>
      <c r="D487" s="5" t="s">
        <v>591</v>
      </c>
      <c r="E487" s="5" t="s">
        <v>592</v>
      </c>
      <c r="F487" s="5"/>
    </row>
    <row r="488" spans="1:6" x14ac:dyDescent="0.25">
      <c r="A488" s="5" t="s">
        <v>590</v>
      </c>
      <c r="B488" s="5">
        <v>1</v>
      </c>
      <c r="C488" s="5" t="s">
        <v>590</v>
      </c>
      <c r="D488" s="5" t="s">
        <v>591</v>
      </c>
      <c r="E488" s="5" t="s">
        <v>592</v>
      </c>
      <c r="F488" s="5"/>
    </row>
    <row r="489" spans="1:6" x14ac:dyDescent="0.25">
      <c r="A489" s="5" t="s">
        <v>593</v>
      </c>
      <c r="B489" s="5">
        <v>1</v>
      </c>
      <c r="C489" s="5" t="s">
        <v>590</v>
      </c>
      <c r="D489" s="5" t="s">
        <v>591</v>
      </c>
      <c r="E489" s="5" t="s">
        <v>592</v>
      </c>
      <c r="F489" s="5"/>
    </row>
    <row r="490" spans="1:6" x14ac:dyDescent="0.25">
      <c r="A490" s="5" t="s">
        <v>594</v>
      </c>
      <c r="B490" s="5">
        <v>1</v>
      </c>
      <c r="C490" s="5" t="s">
        <v>595</v>
      </c>
      <c r="D490" s="5" t="s">
        <v>596</v>
      </c>
      <c r="E490" s="5" t="s">
        <v>597</v>
      </c>
      <c r="F490" s="5"/>
    </row>
    <row r="491" spans="1:6" x14ac:dyDescent="0.25">
      <c r="A491" s="5" t="s">
        <v>594</v>
      </c>
      <c r="B491" s="5">
        <v>1</v>
      </c>
      <c r="C491" s="5" t="s">
        <v>598</v>
      </c>
      <c r="D491" s="5" t="s">
        <v>599</v>
      </c>
      <c r="E491" s="5" t="s">
        <v>600</v>
      </c>
      <c r="F491" s="5"/>
    </row>
    <row r="492" spans="1:6" x14ac:dyDescent="0.25">
      <c r="A492" s="5" t="s">
        <v>601</v>
      </c>
      <c r="B492" s="5">
        <v>1</v>
      </c>
      <c r="C492" s="5" t="s">
        <v>181</v>
      </c>
      <c r="D492" s="5" t="s">
        <v>182</v>
      </c>
      <c r="E492" s="5" t="s">
        <v>183</v>
      </c>
      <c r="F492" s="5"/>
    </row>
    <row r="493" spans="1:6" x14ac:dyDescent="0.25">
      <c r="A493" s="5" t="s">
        <v>602</v>
      </c>
      <c r="B493" s="5">
        <v>1</v>
      </c>
      <c r="C493" s="5" t="s">
        <v>263</v>
      </c>
      <c r="D493" s="5" t="s">
        <v>264</v>
      </c>
      <c r="E493" s="5" t="s">
        <v>265</v>
      </c>
      <c r="F493" s="5"/>
    </row>
    <row r="494" spans="1:6" x14ac:dyDescent="0.25">
      <c r="A494" s="5" t="s">
        <v>603</v>
      </c>
      <c r="B494" s="5">
        <v>1</v>
      </c>
      <c r="C494" s="5" t="s">
        <v>489</v>
      </c>
      <c r="D494" s="5" t="s">
        <v>490</v>
      </c>
      <c r="E494" s="5" t="s">
        <v>491</v>
      </c>
      <c r="F494" s="5"/>
    </row>
    <row r="495" spans="1:6" x14ac:dyDescent="0.25">
      <c r="A495" s="5" t="s">
        <v>604</v>
      </c>
      <c r="B495" s="5">
        <v>1</v>
      </c>
      <c r="C495" s="5" t="s">
        <v>338</v>
      </c>
      <c r="D495" s="5" t="s">
        <v>339</v>
      </c>
      <c r="E495" s="5" t="s">
        <v>949</v>
      </c>
      <c r="F495" s="5"/>
    </row>
    <row r="496" spans="1:6" x14ac:dyDescent="0.25">
      <c r="A496" s="5" t="s">
        <v>605</v>
      </c>
      <c r="B496" s="5">
        <v>1</v>
      </c>
      <c r="C496" s="5" t="s">
        <v>553</v>
      </c>
      <c r="D496" s="5" t="s">
        <v>554</v>
      </c>
      <c r="E496" s="5" t="s">
        <v>555</v>
      </c>
      <c r="F496" s="5"/>
    </row>
    <row r="497" spans="1:6" x14ac:dyDescent="0.25">
      <c r="A497" s="5" t="s">
        <v>606</v>
      </c>
      <c r="B497" s="5">
        <v>1</v>
      </c>
      <c r="C497" s="5" t="s">
        <v>263</v>
      </c>
      <c r="D497" s="5" t="s">
        <v>264</v>
      </c>
      <c r="E497" s="5" t="s">
        <v>265</v>
      </c>
      <c r="F497" s="5"/>
    </row>
    <row r="498" spans="1:6" x14ac:dyDescent="0.25">
      <c r="A498" s="5" t="s">
        <v>607</v>
      </c>
      <c r="B498" s="5">
        <v>1</v>
      </c>
      <c r="C498" s="5" t="s">
        <v>614</v>
      </c>
      <c r="D498" s="5" t="s">
        <v>615</v>
      </c>
      <c r="E498" s="5" t="s">
        <v>616</v>
      </c>
      <c r="F498" s="5"/>
    </row>
    <row r="499" spans="1:6" x14ac:dyDescent="0.25">
      <c r="A499" s="5" t="s">
        <v>607</v>
      </c>
      <c r="B499" s="5">
        <v>1</v>
      </c>
      <c r="C499" s="5" t="s">
        <v>608</v>
      </c>
      <c r="D499" s="5" t="s">
        <v>609</v>
      </c>
      <c r="E499" s="5" t="s">
        <v>610</v>
      </c>
      <c r="F499" s="5"/>
    </row>
    <row r="500" spans="1:6" x14ac:dyDescent="0.25">
      <c r="A500" s="5" t="s">
        <v>607</v>
      </c>
      <c r="B500" s="5">
        <v>1</v>
      </c>
      <c r="C500" s="5" t="s">
        <v>611</v>
      </c>
      <c r="D500" s="5" t="s">
        <v>612</v>
      </c>
      <c r="E500" s="5" t="s">
        <v>613</v>
      </c>
      <c r="F500" s="5"/>
    </row>
    <row r="501" spans="1:6" x14ac:dyDescent="0.25">
      <c r="A501" s="5" t="s">
        <v>617</v>
      </c>
      <c r="B501" s="5">
        <v>1</v>
      </c>
      <c r="C501" s="5" t="s">
        <v>611</v>
      </c>
      <c r="D501" s="5" t="s">
        <v>612</v>
      </c>
      <c r="E501" s="5" t="s">
        <v>613</v>
      </c>
      <c r="F501" s="5"/>
    </row>
    <row r="502" spans="1:6" x14ac:dyDescent="0.25">
      <c r="A502" s="5" t="s">
        <v>618</v>
      </c>
      <c r="B502" s="5">
        <v>1</v>
      </c>
      <c r="C502" s="5" t="s">
        <v>608</v>
      </c>
      <c r="D502" s="5" t="s">
        <v>609</v>
      </c>
      <c r="E502" s="5" t="s">
        <v>610</v>
      </c>
      <c r="F502" s="5"/>
    </row>
    <row r="503" spans="1:6" x14ac:dyDescent="0.25">
      <c r="A503" s="5" t="s">
        <v>619</v>
      </c>
      <c r="B503" s="5">
        <v>1</v>
      </c>
      <c r="C503" s="5" t="s">
        <v>608</v>
      </c>
      <c r="D503" s="5" t="s">
        <v>609</v>
      </c>
      <c r="E503" s="5" t="s">
        <v>610</v>
      </c>
      <c r="F503" s="5"/>
    </row>
    <row r="504" spans="1:6" x14ac:dyDescent="0.25">
      <c r="A504" s="5" t="s">
        <v>620</v>
      </c>
      <c r="B504" s="5">
        <v>1</v>
      </c>
      <c r="C504" s="5" t="s">
        <v>611</v>
      </c>
      <c r="D504" s="5" t="s">
        <v>612</v>
      </c>
      <c r="E504" s="5" t="s">
        <v>613</v>
      </c>
      <c r="F504" s="5"/>
    </row>
    <row r="505" spans="1:6" x14ac:dyDescent="0.25">
      <c r="A505" s="5" t="s">
        <v>621</v>
      </c>
      <c r="B505" s="5">
        <v>1</v>
      </c>
      <c r="C505" s="5" t="s">
        <v>614</v>
      </c>
      <c r="D505" s="5" t="s">
        <v>615</v>
      </c>
      <c r="E505" s="5" t="s">
        <v>616</v>
      </c>
      <c r="F505" s="5"/>
    </row>
    <row r="506" spans="1:6" x14ac:dyDescent="0.25">
      <c r="A506" s="5" t="s">
        <v>621</v>
      </c>
      <c r="B506" s="5">
        <v>1</v>
      </c>
      <c r="C506" s="5" t="s">
        <v>611</v>
      </c>
      <c r="D506" s="5" t="s">
        <v>612</v>
      </c>
      <c r="E506" s="5" t="s">
        <v>613</v>
      </c>
      <c r="F506" s="5"/>
    </row>
    <row r="507" spans="1:6" x14ac:dyDescent="0.25">
      <c r="A507" s="5" t="s">
        <v>622</v>
      </c>
      <c r="B507" s="5">
        <v>1</v>
      </c>
      <c r="C507" s="5" t="s">
        <v>614</v>
      </c>
      <c r="D507" s="5" t="s">
        <v>615</v>
      </c>
      <c r="E507" s="5" t="s">
        <v>616</v>
      </c>
      <c r="F507" s="5"/>
    </row>
    <row r="508" spans="1:6" x14ac:dyDescent="0.25">
      <c r="A508" s="5" t="s">
        <v>623</v>
      </c>
      <c r="B508" s="5">
        <v>1</v>
      </c>
      <c r="C508" s="5" t="s">
        <v>624</v>
      </c>
      <c r="D508" s="5" t="s">
        <v>625</v>
      </c>
      <c r="E508" s="5" t="s">
        <v>626</v>
      </c>
      <c r="F508" s="5"/>
    </row>
    <row r="509" spans="1:6" x14ac:dyDescent="0.25">
      <c r="A509" s="5" t="s">
        <v>627</v>
      </c>
      <c r="B509" s="5">
        <v>1</v>
      </c>
      <c r="C509" s="5" t="s">
        <v>624</v>
      </c>
      <c r="D509" s="5" t="s">
        <v>625</v>
      </c>
      <c r="E509" s="5" t="s">
        <v>626</v>
      </c>
      <c r="F509" s="5"/>
    </row>
    <row r="510" spans="1:6" x14ac:dyDescent="0.25">
      <c r="A510" s="5" t="s">
        <v>628</v>
      </c>
      <c r="B510" s="5">
        <v>1</v>
      </c>
      <c r="C510" s="5" t="s">
        <v>624</v>
      </c>
      <c r="D510" s="5" t="s">
        <v>625</v>
      </c>
      <c r="E510" s="5" t="s">
        <v>626</v>
      </c>
      <c r="F510" s="5"/>
    </row>
    <row r="511" spans="1:6" x14ac:dyDescent="0.25">
      <c r="A511" s="5" t="s">
        <v>629</v>
      </c>
      <c r="B511" s="5">
        <v>1</v>
      </c>
      <c r="C511" s="5" t="s">
        <v>1159</v>
      </c>
      <c r="D511" s="5" t="s">
        <v>1160</v>
      </c>
      <c r="E511" s="5" t="s">
        <v>809</v>
      </c>
      <c r="F511" s="5"/>
    </row>
    <row r="512" spans="1:6" x14ac:dyDescent="0.25">
      <c r="A512" s="5" t="s">
        <v>629</v>
      </c>
      <c r="B512" s="5">
        <v>1</v>
      </c>
      <c r="C512" s="5" t="s">
        <v>630</v>
      </c>
      <c r="D512" s="5" t="s">
        <v>267</v>
      </c>
      <c r="E512" s="5" t="s">
        <v>631</v>
      </c>
      <c r="F512" s="5"/>
    </row>
    <row r="513" spans="1:6" x14ac:dyDescent="0.25">
      <c r="A513" s="5" t="s">
        <v>629</v>
      </c>
      <c r="B513" s="5">
        <v>1</v>
      </c>
      <c r="C513" s="5" t="s">
        <v>703</v>
      </c>
      <c r="D513" s="5" t="s">
        <v>793</v>
      </c>
      <c r="E513" s="5" t="s">
        <v>21</v>
      </c>
      <c r="F513" s="5"/>
    </row>
    <row r="514" spans="1:6" x14ac:dyDescent="0.25">
      <c r="A514" s="5" t="s">
        <v>629</v>
      </c>
      <c r="B514" s="5">
        <v>1</v>
      </c>
      <c r="C514" s="5" t="s">
        <v>752</v>
      </c>
      <c r="D514" s="5" t="s">
        <v>1011</v>
      </c>
      <c r="E514" s="5" t="s">
        <v>806</v>
      </c>
      <c r="F514" s="5"/>
    </row>
    <row r="515" spans="1:6" x14ac:dyDescent="0.25">
      <c r="A515" s="5" t="s">
        <v>632</v>
      </c>
      <c r="B515" s="5">
        <v>1</v>
      </c>
      <c r="C515" s="5" t="s">
        <v>633</v>
      </c>
      <c r="D515" s="5" t="s">
        <v>634</v>
      </c>
      <c r="E515" s="5" t="s">
        <v>635</v>
      </c>
      <c r="F515" s="5"/>
    </row>
    <row r="516" spans="1:6" x14ac:dyDescent="0.25">
      <c r="A516" s="5" t="s">
        <v>636</v>
      </c>
      <c r="B516" s="5">
        <v>1</v>
      </c>
      <c r="C516" s="5" t="s">
        <v>458</v>
      </c>
      <c r="D516" s="5" t="s">
        <v>459</v>
      </c>
      <c r="E516" s="5" t="s">
        <v>460</v>
      </c>
      <c r="F516" s="5"/>
    </row>
    <row r="517" spans="1:6" x14ac:dyDescent="0.25">
      <c r="A517" s="5" t="s">
        <v>637</v>
      </c>
      <c r="B517" s="5">
        <v>1</v>
      </c>
      <c r="C517" s="5" t="s">
        <v>46</v>
      </c>
      <c r="D517" s="5" t="s">
        <v>47</v>
      </c>
      <c r="E517" s="5" t="s">
        <v>48</v>
      </c>
      <c r="F517" s="5"/>
    </row>
    <row r="518" spans="1:6" x14ac:dyDescent="0.25">
      <c r="A518" s="5" t="s">
        <v>637</v>
      </c>
      <c r="B518" s="5">
        <v>1</v>
      </c>
      <c r="C518" s="5" t="s">
        <v>43</v>
      </c>
      <c r="D518" s="5" t="s">
        <v>44</v>
      </c>
      <c r="E518" s="5" t="s">
        <v>45</v>
      </c>
      <c r="F518" s="5"/>
    </row>
    <row r="519" spans="1:6" x14ac:dyDescent="0.25">
      <c r="A519" s="5" t="s">
        <v>637</v>
      </c>
      <c r="B519" s="5">
        <v>1</v>
      </c>
      <c r="C519" s="5" t="s">
        <v>40</v>
      </c>
      <c r="D519" s="5" t="s">
        <v>41</v>
      </c>
      <c r="E519" s="5" t="s">
        <v>42</v>
      </c>
      <c r="F519" s="5"/>
    </row>
    <row r="520" spans="1:6" x14ac:dyDescent="0.25">
      <c r="A520" s="5" t="s">
        <v>638</v>
      </c>
      <c r="B520" s="5">
        <v>1</v>
      </c>
      <c r="C520" s="5" t="s">
        <v>40</v>
      </c>
      <c r="D520" s="5" t="s">
        <v>41</v>
      </c>
      <c r="E520" s="5" t="s">
        <v>42</v>
      </c>
      <c r="F520" s="5"/>
    </row>
    <row r="521" spans="1:6" x14ac:dyDescent="0.25">
      <c r="A521" s="5" t="s">
        <v>638</v>
      </c>
      <c r="B521" s="5">
        <v>1</v>
      </c>
      <c r="C521" s="5" t="s">
        <v>46</v>
      </c>
      <c r="D521" s="5" t="s">
        <v>47</v>
      </c>
      <c r="E521" s="5" t="s">
        <v>48</v>
      </c>
      <c r="F521" s="5"/>
    </row>
    <row r="522" spans="1:6" x14ac:dyDescent="0.25">
      <c r="A522" s="5" t="s">
        <v>638</v>
      </c>
      <c r="B522" s="5">
        <v>1</v>
      </c>
      <c r="C522" s="5" t="s">
        <v>43</v>
      </c>
      <c r="D522" s="5" t="s">
        <v>44</v>
      </c>
      <c r="E522" s="5" t="s">
        <v>45</v>
      </c>
      <c r="F522" s="5"/>
    </row>
    <row r="523" spans="1:6" x14ac:dyDescent="0.25">
      <c r="A523" s="5" t="s">
        <v>639</v>
      </c>
      <c r="B523" s="5">
        <v>1</v>
      </c>
      <c r="C523" s="5" t="s">
        <v>640</v>
      </c>
      <c r="D523" s="5" t="s">
        <v>1086</v>
      </c>
      <c r="E523" s="5" t="s">
        <v>642</v>
      </c>
      <c r="F523" s="5"/>
    </row>
    <row r="524" spans="1:6" x14ac:dyDescent="0.25">
      <c r="A524" s="5" t="s">
        <v>643</v>
      </c>
      <c r="B524" s="5">
        <v>1</v>
      </c>
      <c r="C524" s="5" t="s">
        <v>644</v>
      </c>
      <c r="D524" s="5" t="s">
        <v>645</v>
      </c>
      <c r="E524" s="5" t="s">
        <v>646</v>
      </c>
      <c r="F524" s="5"/>
    </row>
    <row r="525" spans="1:6" x14ac:dyDescent="0.25">
      <c r="A525" s="5" t="s">
        <v>643</v>
      </c>
      <c r="B525" s="5">
        <v>1</v>
      </c>
      <c r="C525" s="5" t="s">
        <v>647</v>
      </c>
      <c r="D525" s="5" t="s">
        <v>648</v>
      </c>
      <c r="E525" s="5" t="s">
        <v>649</v>
      </c>
      <c r="F525" s="5"/>
    </row>
    <row r="526" spans="1:6" x14ac:dyDescent="0.25">
      <c r="A526" s="5" t="s">
        <v>643</v>
      </c>
      <c r="B526" s="5">
        <v>1</v>
      </c>
      <c r="C526" s="5" t="s">
        <v>650</v>
      </c>
      <c r="D526" s="5" t="s">
        <v>651</v>
      </c>
      <c r="E526" s="5" t="s">
        <v>652</v>
      </c>
      <c r="F526" s="5"/>
    </row>
    <row r="527" spans="1:6" x14ac:dyDescent="0.25">
      <c r="A527" s="5" t="s">
        <v>653</v>
      </c>
      <c r="B527" s="5">
        <v>1</v>
      </c>
      <c r="C527" s="5" t="s">
        <v>654</v>
      </c>
      <c r="D527" s="5" t="s">
        <v>655</v>
      </c>
      <c r="E527" s="5" t="s">
        <v>656</v>
      </c>
      <c r="F527" s="5"/>
    </row>
    <row r="528" spans="1:6" x14ac:dyDescent="0.25">
      <c r="A528" s="5" t="s">
        <v>657</v>
      </c>
      <c r="B528" s="5">
        <v>1</v>
      </c>
      <c r="C528" s="5" t="s">
        <v>654</v>
      </c>
      <c r="D528" s="5" t="s">
        <v>655</v>
      </c>
      <c r="E528" s="5" t="s">
        <v>656</v>
      </c>
      <c r="F528" s="5"/>
    </row>
    <row r="529" spans="1:6" x14ac:dyDescent="0.25">
      <c r="A529" s="5" t="s">
        <v>658</v>
      </c>
      <c r="B529" s="5">
        <v>1</v>
      </c>
      <c r="C529" s="5" t="s">
        <v>659</v>
      </c>
      <c r="D529" s="5" t="s">
        <v>660</v>
      </c>
      <c r="E529" s="5" t="s">
        <v>661</v>
      </c>
      <c r="F529" s="5"/>
    </row>
    <row r="530" spans="1:6" x14ac:dyDescent="0.25">
      <c r="A530" s="5" t="s">
        <v>658</v>
      </c>
      <c r="B530" s="5">
        <v>1</v>
      </c>
      <c r="C530" s="5" t="s">
        <v>662</v>
      </c>
      <c r="D530" s="5" t="s">
        <v>663</v>
      </c>
      <c r="E530" s="5" t="s">
        <v>664</v>
      </c>
      <c r="F530" s="5"/>
    </row>
    <row r="531" spans="1:6" x14ac:dyDescent="0.25">
      <c r="A531" s="5" t="s">
        <v>665</v>
      </c>
      <c r="B531" s="5">
        <v>1</v>
      </c>
      <c r="C531" s="5" t="s">
        <v>77</v>
      </c>
      <c r="D531" s="5" t="s">
        <v>78</v>
      </c>
      <c r="E531" s="5" t="s">
        <v>79</v>
      </c>
      <c r="F531" s="5"/>
    </row>
    <row r="532" spans="1:6" x14ac:dyDescent="0.25">
      <c r="A532" s="5" t="s">
        <v>665</v>
      </c>
      <c r="B532" s="5">
        <v>1</v>
      </c>
      <c r="C532" s="5" t="s">
        <v>80</v>
      </c>
      <c r="D532" s="5" t="s">
        <v>81</v>
      </c>
      <c r="E532" s="5" t="s">
        <v>82</v>
      </c>
      <c r="F532" s="5"/>
    </row>
    <row r="533" spans="1:6" x14ac:dyDescent="0.25">
      <c r="A533" s="5" t="s">
        <v>666</v>
      </c>
      <c r="B533" s="5">
        <v>1</v>
      </c>
      <c r="C533" s="5" t="s">
        <v>19</v>
      </c>
      <c r="D533" s="5" t="s">
        <v>20</v>
      </c>
      <c r="E533" s="5" t="s">
        <v>1126</v>
      </c>
      <c r="F533" s="5"/>
    </row>
    <row r="534" spans="1:6" x14ac:dyDescent="0.25">
      <c r="A534" s="5" t="s">
        <v>668</v>
      </c>
      <c r="B534" s="5">
        <v>1</v>
      </c>
      <c r="C534" s="5" t="s">
        <v>19</v>
      </c>
      <c r="D534" s="5" t="s">
        <v>20</v>
      </c>
      <c r="E534" s="5" t="s">
        <v>1126</v>
      </c>
      <c r="F534" s="5"/>
    </row>
    <row r="535" spans="1:6" x14ac:dyDescent="0.25">
      <c r="A535" s="5" t="s">
        <v>669</v>
      </c>
      <c r="B535" s="5">
        <v>1</v>
      </c>
      <c r="C535" s="5" t="s">
        <v>368</v>
      </c>
      <c r="D535" s="5" t="s">
        <v>369</v>
      </c>
      <c r="E535" s="5" t="s">
        <v>370</v>
      </c>
      <c r="F535" s="5"/>
    </row>
    <row r="536" spans="1:6" x14ac:dyDescent="0.25">
      <c r="A536" s="5" t="s">
        <v>669</v>
      </c>
      <c r="B536" s="5">
        <v>1</v>
      </c>
      <c r="C536" s="5" t="s">
        <v>365</v>
      </c>
      <c r="D536" s="5" t="s">
        <v>366</v>
      </c>
      <c r="E536" s="5" t="s">
        <v>367</v>
      </c>
      <c r="F536" s="5"/>
    </row>
    <row r="537" spans="1:6" x14ac:dyDescent="0.25">
      <c r="A537" s="5" t="s">
        <v>669</v>
      </c>
      <c r="B537" s="5">
        <v>1</v>
      </c>
      <c r="C537" s="5" t="s">
        <v>362</v>
      </c>
      <c r="D537" s="5" t="s">
        <v>363</v>
      </c>
      <c r="E537" s="5" t="s">
        <v>364</v>
      </c>
      <c r="F537" s="5"/>
    </row>
    <row r="538" spans="1:6" x14ac:dyDescent="0.25">
      <c r="A538" s="5" t="s">
        <v>670</v>
      </c>
      <c r="B538" s="5">
        <v>1</v>
      </c>
      <c r="C538" s="5" t="s">
        <v>112</v>
      </c>
      <c r="D538" s="5" t="s">
        <v>113</v>
      </c>
      <c r="E538" s="5" t="s">
        <v>114</v>
      </c>
      <c r="F538" s="5"/>
    </row>
    <row r="539" spans="1:6" x14ac:dyDescent="0.25">
      <c r="A539" s="5" t="s">
        <v>670</v>
      </c>
      <c r="B539" s="5">
        <v>1</v>
      </c>
      <c r="C539" s="5" t="s">
        <v>115</v>
      </c>
      <c r="D539" s="5" t="s">
        <v>116</v>
      </c>
      <c r="E539" s="5" t="s">
        <v>117</v>
      </c>
      <c r="F539" s="5"/>
    </row>
    <row r="540" spans="1:6" x14ac:dyDescent="0.25">
      <c r="A540" s="5" t="s">
        <v>671</v>
      </c>
      <c r="B540" s="5">
        <v>1</v>
      </c>
      <c r="C540" s="5" t="s">
        <v>112</v>
      </c>
      <c r="D540" s="5" t="s">
        <v>113</v>
      </c>
      <c r="E540" s="5" t="s">
        <v>114</v>
      </c>
      <c r="F540" s="5"/>
    </row>
    <row r="541" spans="1:6" x14ac:dyDescent="0.25">
      <c r="A541" s="5" t="s">
        <v>671</v>
      </c>
      <c r="B541" s="5">
        <v>1</v>
      </c>
      <c r="C541" s="5" t="s">
        <v>115</v>
      </c>
      <c r="D541" s="5" t="s">
        <v>116</v>
      </c>
      <c r="E541" s="5" t="s">
        <v>117</v>
      </c>
      <c r="F541" s="5"/>
    </row>
    <row r="542" spans="1:6" x14ac:dyDescent="0.25">
      <c r="A542" s="5" t="s">
        <v>672</v>
      </c>
      <c r="B542" s="5">
        <v>1</v>
      </c>
      <c r="C542" s="5" t="s">
        <v>673</v>
      </c>
      <c r="D542" s="5" t="s">
        <v>674</v>
      </c>
      <c r="E542" s="5" t="s">
        <v>675</v>
      </c>
      <c r="F542" s="5"/>
    </row>
    <row r="543" spans="1:6" x14ac:dyDescent="0.25">
      <c r="A543" s="5" t="s">
        <v>676</v>
      </c>
      <c r="B543" s="5">
        <v>1</v>
      </c>
      <c r="C543" s="5" t="s">
        <v>468</v>
      </c>
      <c r="D543" s="5" t="s">
        <v>469</v>
      </c>
      <c r="E543" s="5" t="s">
        <v>470</v>
      </c>
      <c r="F543" s="5"/>
    </row>
    <row r="544" spans="1:6" x14ac:dyDescent="0.25">
      <c r="A544" s="5" t="s">
        <v>677</v>
      </c>
      <c r="B544" s="5">
        <v>1</v>
      </c>
      <c r="C544" s="5" t="s">
        <v>468</v>
      </c>
      <c r="D544" s="5" t="s">
        <v>469</v>
      </c>
      <c r="E544" s="5" t="s">
        <v>470</v>
      </c>
      <c r="F544" s="5"/>
    </row>
    <row r="545" spans="1:6" x14ac:dyDescent="0.25">
      <c r="A545" s="5" t="s">
        <v>678</v>
      </c>
      <c r="B545" s="5">
        <v>1</v>
      </c>
      <c r="C545" s="5" t="s">
        <v>77</v>
      </c>
      <c r="D545" s="5" t="s">
        <v>78</v>
      </c>
      <c r="E545" s="5" t="s">
        <v>79</v>
      </c>
      <c r="F545" s="5"/>
    </row>
    <row r="546" spans="1:6" x14ac:dyDescent="0.25">
      <c r="A546" s="5" t="s">
        <v>678</v>
      </c>
      <c r="B546" s="5">
        <v>1</v>
      </c>
      <c r="C546" s="5" t="s">
        <v>80</v>
      </c>
      <c r="D546" s="5" t="s">
        <v>81</v>
      </c>
      <c r="E546" s="5" t="s">
        <v>82</v>
      </c>
      <c r="F546" s="5"/>
    </row>
    <row r="547" spans="1:6" x14ac:dyDescent="0.25">
      <c r="A547" s="5" t="s">
        <v>679</v>
      </c>
      <c r="B547" s="5">
        <v>1</v>
      </c>
      <c r="C547" s="5" t="s">
        <v>439</v>
      </c>
      <c r="D547" s="5" t="s">
        <v>440</v>
      </c>
      <c r="E547" s="5" t="s">
        <v>441</v>
      </c>
      <c r="F547" s="5"/>
    </row>
    <row r="548" spans="1:6" x14ac:dyDescent="0.25">
      <c r="A548" s="5" t="s">
        <v>680</v>
      </c>
      <c r="B548" s="5">
        <v>1</v>
      </c>
      <c r="C548" s="5" t="s">
        <v>681</v>
      </c>
      <c r="D548" s="5" t="s">
        <v>682</v>
      </c>
      <c r="E548" s="5" t="s">
        <v>683</v>
      </c>
      <c r="F548" s="5"/>
    </row>
    <row r="549" spans="1:6" x14ac:dyDescent="0.25">
      <c r="A549" s="5" t="s">
        <v>684</v>
      </c>
      <c r="B549" s="5">
        <v>1</v>
      </c>
      <c r="C549" s="5" t="s">
        <v>681</v>
      </c>
      <c r="D549" s="5" t="s">
        <v>682</v>
      </c>
      <c r="E549" s="5" t="s">
        <v>683</v>
      </c>
      <c r="F549" s="5"/>
    </row>
    <row r="550" spans="1:6" x14ac:dyDescent="0.25">
      <c r="A550" s="5" t="s">
        <v>685</v>
      </c>
      <c r="B550" s="5">
        <v>1</v>
      </c>
      <c r="C550" s="5" t="s">
        <v>292</v>
      </c>
      <c r="D550" s="5" t="s">
        <v>293</v>
      </c>
      <c r="E550" s="5" t="s">
        <v>294</v>
      </c>
      <c r="F550" s="5"/>
    </row>
    <row r="551" spans="1:6" x14ac:dyDescent="0.25">
      <c r="A551" s="5" t="s">
        <v>686</v>
      </c>
      <c r="B551" s="5">
        <v>1</v>
      </c>
      <c r="C551" s="5" t="s">
        <v>292</v>
      </c>
      <c r="D551" s="5" t="s">
        <v>293</v>
      </c>
      <c r="E551" s="5" t="s">
        <v>294</v>
      </c>
      <c r="F551" s="5"/>
    </row>
    <row r="552" spans="1:6" x14ac:dyDescent="0.25">
      <c r="A552" s="5"/>
      <c r="B552" s="5"/>
      <c r="C552" s="5"/>
      <c r="D552" s="5"/>
      <c r="E552" s="5"/>
      <c r="F552" s="5"/>
    </row>
    <row r="553" spans="1:6" x14ac:dyDescent="0.25">
      <c r="A553" s="5"/>
      <c r="B553" s="5"/>
      <c r="C553" s="5"/>
      <c r="D553" s="5"/>
      <c r="E553" s="5"/>
      <c r="F553" s="5"/>
    </row>
    <row r="554" spans="1:6" x14ac:dyDescent="0.25">
      <c r="A554" s="5"/>
      <c r="B554" s="5"/>
      <c r="C554" s="5"/>
      <c r="D554" s="5"/>
      <c r="E554" s="5"/>
      <c r="F554" s="5"/>
    </row>
    <row r="555" spans="1:6" x14ac:dyDescent="0.25">
      <c r="A555" s="5"/>
      <c r="B555" s="5"/>
      <c r="C555" s="5"/>
      <c r="D555" s="5"/>
      <c r="E555" s="5"/>
      <c r="F555" s="5"/>
    </row>
    <row r="556" spans="1:6" x14ac:dyDescent="0.25">
      <c r="A556" s="5"/>
      <c r="B556" s="5"/>
      <c r="C556" s="5"/>
      <c r="D556" s="5"/>
      <c r="E556" s="5"/>
      <c r="F556" s="5"/>
    </row>
    <row r="557" spans="1:6" x14ac:dyDescent="0.25">
      <c r="A557" s="5"/>
      <c r="B557" s="5"/>
      <c r="C557" s="5"/>
      <c r="D557" s="5"/>
      <c r="E557" s="5"/>
      <c r="F557" s="5"/>
    </row>
    <row r="558" spans="1:6" x14ac:dyDescent="0.25">
      <c r="A558" s="5"/>
      <c r="B558" s="5"/>
      <c r="C558" s="5"/>
      <c r="D558" s="5"/>
      <c r="E558" s="5"/>
      <c r="F558" s="5"/>
    </row>
    <row r="559" spans="1:6" x14ac:dyDescent="0.25">
      <c r="A559" s="5"/>
      <c r="B559" s="5"/>
      <c r="C559" s="5"/>
      <c r="D559" s="5"/>
      <c r="E559" s="5"/>
      <c r="F559" s="5"/>
    </row>
    <row r="560" spans="1:6" x14ac:dyDescent="0.25">
      <c r="A560" s="5"/>
      <c r="B560" s="5"/>
      <c r="C560" s="5"/>
      <c r="D560" s="5"/>
      <c r="E560" s="5"/>
      <c r="F560" s="5"/>
    </row>
  </sheetData>
  <autoFilter ref="A1:F561" xr:uid="{A9C73411-BC1D-49C9-BA84-D650F1C3CA25}"/>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CBBD7-A8AB-4051-8F4D-04EE666425AE}">
  <sheetPr codeName="Sheet4"/>
  <dimension ref="A1:F562"/>
  <sheetViews>
    <sheetView zoomScale="90" zoomScaleNormal="90" workbookViewId="0">
      <selection activeCell="D32" sqref="D32"/>
    </sheetView>
  </sheetViews>
  <sheetFormatPr defaultRowHeight="15.75" x14ac:dyDescent="0.25"/>
  <cols>
    <col min="1" max="1" width="29.77734375" style="2" customWidth="1"/>
    <col min="2" max="2" width="19.77734375" style="9" customWidth="1"/>
    <col min="3" max="3" width="32.88671875" style="9" customWidth="1"/>
    <col min="4" max="4" width="49.109375" style="9" customWidth="1"/>
    <col min="5" max="5" width="48.77734375" style="9" customWidth="1"/>
    <col min="6" max="6" width="21.5546875" style="9" customWidth="1"/>
  </cols>
  <sheetData>
    <row r="1" spans="1:6" s="1" customFormat="1" x14ac:dyDescent="0.25">
      <c r="A1" s="8" t="s">
        <v>1</v>
      </c>
      <c r="B1" s="8" t="s">
        <v>758</v>
      </c>
      <c r="C1" s="8" t="s">
        <v>759</v>
      </c>
      <c r="D1" s="8" t="s">
        <v>760</v>
      </c>
      <c r="E1" s="8" t="s">
        <v>761</v>
      </c>
      <c r="F1" s="8" t="s">
        <v>762</v>
      </c>
    </row>
    <row r="2" spans="1:6" x14ac:dyDescent="0.25">
      <c r="A2" s="9" t="s">
        <v>477</v>
      </c>
      <c r="B2" s="9">
        <v>2</v>
      </c>
      <c r="C2" s="9" t="s">
        <v>1115</v>
      </c>
      <c r="D2" s="9" t="s">
        <v>380</v>
      </c>
    </row>
    <row r="3" spans="1:6" x14ac:dyDescent="0.25">
      <c r="A3" s="9" t="s">
        <v>1117</v>
      </c>
      <c r="B3" s="9">
        <v>2</v>
      </c>
      <c r="C3" s="9" t="s">
        <v>1115</v>
      </c>
      <c r="D3" s="9" t="s">
        <v>380</v>
      </c>
    </row>
    <row r="4" spans="1:6" x14ac:dyDescent="0.25">
      <c r="A4" s="9" t="s">
        <v>1119</v>
      </c>
      <c r="B4" s="9">
        <v>2</v>
      </c>
      <c r="C4" s="9" t="s">
        <v>1115</v>
      </c>
      <c r="D4" s="9" t="s">
        <v>380</v>
      </c>
    </row>
    <row r="5" spans="1:6" x14ac:dyDescent="0.25">
      <c r="A5" s="9" t="s">
        <v>234</v>
      </c>
      <c r="B5" s="9">
        <v>2</v>
      </c>
      <c r="C5" s="9" t="s">
        <v>380</v>
      </c>
      <c r="D5" s="9" t="s">
        <v>1115</v>
      </c>
    </row>
    <row r="6" spans="1:6" x14ac:dyDescent="0.25">
      <c r="A6" s="9" t="s">
        <v>280</v>
      </c>
      <c r="B6" s="9">
        <v>2</v>
      </c>
      <c r="C6" s="9" t="s">
        <v>374</v>
      </c>
      <c r="D6" s="9" t="s">
        <v>380</v>
      </c>
    </row>
    <row r="7" spans="1:6" x14ac:dyDescent="0.25">
      <c r="A7" s="9" t="s">
        <v>324</v>
      </c>
      <c r="B7" s="9">
        <v>2</v>
      </c>
      <c r="C7" s="9" t="s">
        <v>1115</v>
      </c>
      <c r="D7" s="9" t="s">
        <v>380</v>
      </c>
    </row>
    <row r="8" spans="1:6" x14ac:dyDescent="0.25">
      <c r="A8" s="9" t="s">
        <v>332</v>
      </c>
      <c r="B8" s="9">
        <v>2</v>
      </c>
      <c r="C8" s="9" t="s">
        <v>380</v>
      </c>
      <c r="D8" s="9" t="s">
        <v>1115</v>
      </c>
    </row>
    <row r="9" spans="1:6" x14ac:dyDescent="0.25">
      <c r="A9" s="9" t="s">
        <v>373</v>
      </c>
      <c r="B9" s="9">
        <v>2</v>
      </c>
      <c r="C9" s="9" t="s">
        <v>374</v>
      </c>
      <c r="D9" s="9" t="s">
        <v>1121</v>
      </c>
    </row>
    <row r="10" spans="1:6" x14ac:dyDescent="0.25">
      <c r="A10" s="9" t="s">
        <v>1122</v>
      </c>
      <c r="B10" s="9">
        <v>2</v>
      </c>
      <c r="C10" s="9" t="s">
        <v>1121</v>
      </c>
      <c r="D10" s="9" t="s">
        <v>374</v>
      </c>
    </row>
    <row r="11" spans="1:6" x14ac:dyDescent="0.25">
      <c r="A11" s="9" t="s">
        <v>374</v>
      </c>
      <c r="B11" s="9">
        <v>3</v>
      </c>
      <c r="C11" s="9" t="s">
        <v>374</v>
      </c>
      <c r="D11" s="9" t="s">
        <v>1121</v>
      </c>
      <c r="E11" s="9" t="s">
        <v>357</v>
      </c>
    </row>
    <row r="12" spans="1:6" x14ac:dyDescent="0.25">
      <c r="A12" s="9" t="s">
        <v>380</v>
      </c>
      <c r="B12" s="9">
        <v>2</v>
      </c>
      <c r="C12" s="9" t="s">
        <v>380</v>
      </c>
      <c r="D12" s="9" t="s">
        <v>1115</v>
      </c>
    </row>
    <row r="13" spans="1:6" x14ac:dyDescent="0.25">
      <c r="A13" s="9" t="s">
        <v>399</v>
      </c>
      <c r="B13" s="9">
        <v>2</v>
      </c>
      <c r="C13" s="9" t="s">
        <v>380</v>
      </c>
      <c r="D13" s="9" t="s">
        <v>1115</v>
      </c>
    </row>
    <row r="14" spans="1:6" x14ac:dyDescent="0.25">
      <c r="A14" s="9" t="s">
        <v>400</v>
      </c>
      <c r="B14" s="9">
        <v>2</v>
      </c>
      <c r="C14" s="9" t="s">
        <v>1115</v>
      </c>
      <c r="D14" s="9" t="s">
        <v>380</v>
      </c>
    </row>
    <row r="15" spans="1:6" x14ac:dyDescent="0.25">
      <c r="A15" s="9" t="s">
        <v>410</v>
      </c>
      <c r="B15" s="9">
        <v>2</v>
      </c>
      <c r="C15" s="9" t="s">
        <v>1115</v>
      </c>
      <c r="D15" s="9" t="s">
        <v>380</v>
      </c>
    </row>
    <row r="16" spans="1:6" x14ac:dyDescent="0.25">
      <c r="A16" s="9" t="s">
        <v>422</v>
      </c>
      <c r="B16" s="9">
        <v>2</v>
      </c>
      <c r="C16" s="9" t="s">
        <v>380</v>
      </c>
      <c r="D16" s="9" t="s">
        <v>1115</v>
      </c>
    </row>
    <row r="17" spans="1:4" x14ac:dyDescent="0.25">
      <c r="A17" s="9" t="s">
        <v>448</v>
      </c>
      <c r="B17" s="9">
        <v>2</v>
      </c>
      <c r="C17" s="9" t="s">
        <v>1123</v>
      </c>
      <c r="D17" s="9" t="s">
        <v>439</v>
      </c>
    </row>
    <row r="18" spans="1:4" x14ac:dyDescent="0.25">
      <c r="A18" s="9" t="s">
        <v>753</v>
      </c>
      <c r="B18" s="9">
        <v>1</v>
      </c>
      <c r="C18" s="9" t="s">
        <v>1123</v>
      </c>
    </row>
    <row r="19" spans="1:4" x14ac:dyDescent="0.25">
      <c r="A19" s="9" t="s">
        <v>508</v>
      </c>
      <c r="B19" s="9">
        <v>2</v>
      </c>
      <c r="C19" s="9" t="s">
        <v>380</v>
      </c>
      <c r="D19" s="9" t="s">
        <v>1115</v>
      </c>
    </row>
    <row r="20" spans="1:4" x14ac:dyDescent="0.25">
      <c r="A20" s="9" t="s">
        <v>529</v>
      </c>
      <c r="B20" s="9">
        <v>2</v>
      </c>
      <c r="C20" s="9" t="s">
        <v>1115</v>
      </c>
      <c r="D20" s="9" t="s">
        <v>380</v>
      </c>
    </row>
    <row r="21" spans="1:4" x14ac:dyDescent="0.25">
      <c r="A21" s="9" t="s">
        <v>543</v>
      </c>
      <c r="B21" s="9">
        <v>2</v>
      </c>
      <c r="C21" s="9" t="s">
        <v>1115</v>
      </c>
      <c r="D21" s="9" t="s">
        <v>380</v>
      </c>
    </row>
    <row r="22" spans="1:4" x14ac:dyDescent="0.25">
      <c r="A22" s="9" t="s">
        <v>544</v>
      </c>
      <c r="B22" s="9">
        <v>2</v>
      </c>
      <c r="C22" s="9" t="s">
        <v>1115</v>
      </c>
      <c r="D22" s="9" t="s">
        <v>380</v>
      </c>
    </row>
    <row r="23" spans="1:4" x14ac:dyDescent="0.25">
      <c r="A23" s="9" t="s">
        <v>583</v>
      </c>
      <c r="B23" s="9">
        <v>2</v>
      </c>
      <c r="C23" s="9" t="s">
        <v>1123</v>
      </c>
      <c r="D23" s="9" t="s">
        <v>439</v>
      </c>
    </row>
    <row r="24" spans="1:4" x14ac:dyDescent="0.25">
      <c r="A24" s="9" t="s">
        <v>584</v>
      </c>
      <c r="B24" s="9">
        <v>2</v>
      </c>
      <c r="C24" s="9" t="s">
        <v>1123</v>
      </c>
      <c r="D24" s="9" t="s">
        <v>439</v>
      </c>
    </row>
    <row r="25" spans="1:4" x14ac:dyDescent="0.25">
      <c r="A25" s="9" t="s">
        <v>679</v>
      </c>
      <c r="B25" s="9">
        <v>2</v>
      </c>
      <c r="C25" s="9" t="s">
        <v>1123</v>
      </c>
      <c r="D25" s="9" t="s">
        <v>439</v>
      </c>
    </row>
    <row r="26" spans="1:4" x14ac:dyDescent="0.25">
      <c r="A26" s="9" t="s">
        <v>768</v>
      </c>
      <c r="B26" s="9">
        <v>1</v>
      </c>
      <c r="C26" s="9" t="s">
        <v>1123</v>
      </c>
    </row>
    <row r="27" spans="1:4" x14ac:dyDescent="0.25">
      <c r="A27" s="9">
        <v>110</v>
      </c>
      <c r="B27" s="9">
        <v>2</v>
      </c>
      <c r="C27" s="9" t="s">
        <v>7</v>
      </c>
      <c r="D27" s="9" t="s">
        <v>7</v>
      </c>
    </row>
    <row r="28" spans="1:4" x14ac:dyDescent="0.25">
      <c r="A28" s="9" t="s">
        <v>10</v>
      </c>
      <c r="B28" s="9">
        <v>1</v>
      </c>
      <c r="C28" s="27" t="s">
        <v>7</v>
      </c>
    </row>
    <row r="29" spans="1:4" x14ac:dyDescent="0.25">
      <c r="A29" s="9" t="s">
        <v>1125</v>
      </c>
      <c r="B29" s="9">
        <v>1</v>
      </c>
      <c r="C29" s="9" t="s">
        <v>7</v>
      </c>
    </row>
    <row r="30" spans="1:4" x14ac:dyDescent="0.25">
      <c r="A30" s="9" t="s">
        <v>11</v>
      </c>
      <c r="B30" s="9">
        <v>2</v>
      </c>
      <c r="C30" s="9" t="s">
        <v>12</v>
      </c>
      <c r="D30" s="9" t="s">
        <v>15</v>
      </c>
    </row>
    <row r="31" spans="1:4" x14ac:dyDescent="0.25">
      <c r="A31" s="9" t="s">
        <v>699</v>
      </c>
      <c r="B31" s="9">
        <v>2</v>
      </c>
      <c r="C31" s="9" t="s">
        <v>12</v>
      </c>
      <c r="D31" s="9" t="s">
        <v>15</v>
      </c>
    </row>
    <row r="32" spans="1:4" x14ac:dyDescent="0.25">
      <c r="A32" s="9" t="s">
        <v>18</v>
      </c>
      <c r="B32" s="9">
        <v>2</v>
      </c>
      <c r="C32" s="9" t="s">
        <v>15</v>
      </c>
      <c r="D32" s="9" t="s">
        <v>12</v>
      </c>
    </row>
    <row r="33" spans="1:5" x14ac:dyDescent="0.25">
      <c r="A33" s="9" t="s">
        <v>700</v>
      </c>
      <c r="B33" s="9">
        <v>2</v>
      </c>
      <c r="C33" s="9" t="s">
        <v>12</v>
      </c>
      <c r="D33" s="9" t="s">
        <v>15</v>
      </c>
    </row>
    <row r="34" spans="1:5" x14ac:dyDescent="0.25">
      <c r="A34" s="9" t="s">
        <v>701</v>
      </c>
      <c r="B34" s="9">
        <v>1</v>
      </c>
      <c r="C34" s="9" t="s">
        <v>19</v>
      </c>
    </row>
    <row r="35" spans="1:5" x14ac:dyDescent="0.25">
      <c r="A35" s="9" t="s">
        <v>702</v>
      </c>
      <c r="B35" s="9">
        <v>1</v>
      </c>
      <c r="C35" s="9" t="s">
        <v>19</v>
      </c>
    </row>
    <row r="36" spans="1:5" x14ac:dyDescent="0.25">
      <c r="A36" s="9" t="s">
        <v>1127</v>
      </c>
      <c r="B36" s="9">
        <v>1</v>
      </c>
      <c r="C36" s="9" t="s">
        <v>703</v>
      </c>
    </row>
    <row r="37" spans="1:5" x14ac:dyDescent="0.25">
      <c r="A37" s="9" t="s">
        <v>1128</v>
      </c>
      <c r="B37" s="9">
        <v>1</v>
      </c>
      <c r="C37" s="9" t="s">
        <v>703</v>
      </c>
    </row>
    <row r="38" spans="1:5" x14ac:dyDescent="0.25">
      <c r="A38" s="9" t="s">
        <v>704</v>
      </c>
      <c r="B38" s="9">
        <v>2</v>
      </c>
      <c r="C38" s="9" t="s">
        <v>1185</v>
      </c>
      <c r="D38" s="9" t="s">
        <v>22</v>
      </c>
    </row>
    <row r="39" spans="1:5" x14ac:dyDescent="0.25">
      <c r="A39" s="9" t="s">
        <v>705</v>
      </c>
      <c r="B39" s="9">
        <v>2</v>
      </c>
      <c r="C39" s="9" t="s">
        <v>22</v>
      </c>
      <c r="D39" s="9" t="s">
        <v>1185</v>
      </c>
    </row>
    <row r="40" spans="1:5" x14ac:dyDescent="0.25">
      <c r="A40" s="9" t="s">
        <v>27</v>
      </c>
      <c r="B40" s="9">
        <v>1</v>
      </c>
      <c r="C40" s="9" t="s">
        <v>28</v>
      </c>
    </row>
    <row r="41" spans="1:5" x14ac:dyDescent="0.25">
      <c r="A41" s="9" t="s">
        <v>706</v>
      </c>
      <c r="B41" s="9">
        <v>1</v>
      </c>
      <c r="C41" s="9" t="s">
        <v>28</v>
      </c>
    </row>
    <row r="42" spans="1:5" x14ac:dyDescent="0.25">
      <c r="A42" s="9" t="s">
        <v>1129</v>
      </c>
      <c r="B42" s="9">
        <v>3</v>
      </c>
      <c r="C42" s="9" t="s">
        <v>310</v>
      </c>
      <c r="D42" s="9" t="s">
        <v>307</v>
      </c>
      <c r="E42" s="9" t="s">
        <v>313</v>
      </c>
    </row>
    <row r="43" spans="1:5" x14ac:dyDescent="0.25">
      <c r="A43" s="9" t="s">
        <v>1131</v>
      </c>
      <c r="B43" s="9">
        <v>3</v>
      </c>
      <c r="C43" s="9" t="s">
        <v>310</v>
      </c>
      <c r="D43" s="9" t="s">
        <v>313</v>
      </c>
      <c r="E43" s="9" t="s">
        <v>307</v>
      </c>
    </row>
    <row r="44" spans="1:5" x14ac:dyDescent="0.25">
      <c r="A44" s="9" t="s">
        <v>707</v>
      </c>
      <c r="B44" s="9">
        <v>2</v>
      </c>
      <c r="C44" s="9" t="s">
        <v>34</v>
      </c>
      <c r="D44" s="9" t="s">
        <v>31</v>
      </c>
    </row>
    <row r="45" spans="1:5" x14ac:dyDescent="0.25">
      <c r="A45" s="9" t="s">
        <v>708</v>
      </c>
      <c r="B45" s="9">
        <v>2</v>
      </c>
      <c r="C45" s="9" t="s">
        <v>34</v>
      </c>
      <c r="D45" s="9" t="s">
        <v>31</v>
      </c>
    </row>
    <row r="46" spans="1:5" x14ac:dyDescent="0.25">
      <c r="A46" s="9" t="s">
        <v>709</v>
      </c>
      <c r="B46" s="9">
        <v>1</v>
      </c>
      <c r="C46" s="9" t="s">
        <v>37</v>
      </c>
    </row>
    <row r="47" spans="1:5" x14ac:dyDescent="0.25">
      <c r="A47" s="9" t="s">
        <v>710</v>
      </c>
      <c r="B47" s="9">
        <v>1</v>
      </c>
      <c r="C47" s="9" t="s">
        <v>37</v>
      </c>
    </row>
    <row r="48" spans="1:5" x14ac:dyDescent="0.25">
      <c r="A48" s="9" t="s">
        <v>711</v>
      </c>
      <c r="B48" s="9">
        <v>3</v>
      </c>
      <c r="C48" s="9" t="s">
        <v>46</v>
      </c>
      <c r="D48" s="9" t="s">
        <v>43</v>
      </c>
      <c r="E48" s="9" t="s">
        <v>40</v>
      </c>
    </row>
    <row r="49" spans="1:5" x14ac:dyDescent="0.25">
      <c r="A49" s="9" t="s">
        <v>712</v>
      </c>
      <c r="B49" s="9">
        <v>3</v>
      </c>
      <c r="C49" s="9" t="s">
        <v>40</v>
      </c>
      <c r="D49" s="9" t="s">
        <v>43</v>
      </c>
      <c r="E49" s="9" t="s">
        <v>46</v>
      </c>
    </row>
    <row r="50" spans="1:5" x14ac:dyDescent="0.25">
      <c r="A50" s="9" t="s">
        <v>49</v>
      </c>
      <c r="B50" s="9">
        <v>2</v>
      </c>
      <c r="C50" s="9" t="s">
        <v>53</v>
      </c>
      <c r="D50" s="9" t="s">
        <v>50</v>
      </c>
    </row>
    <row r="51" spans="1:5" x14ac:dyDescent="0.25">
      <c r="A51" s="9" t="s">
        <v>713</v>
      </c>
      <c r="B51" s="9">
        <v>2</v>
      </c>
      <c r="C51" s="9" t="s">
        <v>50</v>
      </c>
      <c r="D51" s="9" t="s">
        <v>53</v>
      </c>
    </row>
    <row r="52" spans="1:5" x14ac:dyDescent="0.25">
      <c r="A52" s="9" t="s">
        <v>56</v>
      </c>
      <c r="B52" s="9">
        <v>1</v>
      </c>
      <c r="C52" s="9" t="s">
        <v>57</v>
      </c>
    </row>
    <row r="53" spans="1:5" x14ac:dyDescent="0.25">
      <c r="A53" s="9" t="s">
        <v>60</v>
      </c>
      <c r="B53" s="9">
        <v>1</v>
      </c>
      <c r="C53" s="9" t="s">
        <v>57</v>
      </c>
    </row>
    <row r="54" spans="1:5" x14ac:dyDescent="0.25">
      <c r="A54" s="9" t="s">
        <v>61</v>
      </c>
      <c r="B54" s="9">
        <v>2</v>
      </c>
      <c r="C54" s="9" t="s">
        <v>53</v>
      </c>
      <c r="D54" s="9" t="s">
        <v>50</v>
      </c>
    </row>
    <row r="55" spans="1:5" x14ac:dyDescent="0.25">
      <c r="A55" s="9" t="s">
        <v>714</v>
      </c>
      <c r="B55" s="9">
        <v>2</v>
      </c>
      <c r="C55" s="9" t="s">
        <v>50</v>
      </c>
      <c r="D55" s="9" t="s">
        <v>53</v>
      </c>
    </row>
    <row r="56" spans="1:5" x14ac:dyDescent="0.25">
      <c r="A56" s="9" t="s">
        <v>65</v>
      </c>
      <c r="B56" s="9">
        <v>1</v>
      </c>
      <c r="C56" s="9" t="s">
        <v>62</v>
      </c>
    </row>
    <row r="57" spans="1:5" x14ac:dyDescent="0.25">
      <c r="A57" s="9" t="s">
        <v>715</v>
      </c>
      <c r="B57" s="9">
        <v>1</v>
      </c>
      <c r="C57" s="9" t="s">
        <v>62</v>
      </c>
    </row>
    <row r="58" spans="1:5" x14ac:dyDescent="0.25">
      <c r="A58" s="9" t="s">
        <v>66</v>
      </c>
      <c r="B58" s="9">
        <v>1</v>
      </c>
      <c r="C58" s="9" t="s">
        <v>19</v>
      </c>
    </row>
    <row r="59" spans="1:5" x14ac:dyDescent="0.25">
      <c r="A59" s="9" t="s">
        <v>716</v>
      </c>
      <c r="B59" s="9">
        <v>1</v>
      </c>
      <c r="C59" s="9" t="s">
        <v>19</v>
      </c>
    </row>
    <row r="60" spans="1:5" x14ac:dyDescent="0.25">
      <c r="A60" s="9" t="s">
        <v>1133</v>
      </c>
      <c r="B60" s="9">
        <v>1</v>
      </c>
      <c r="C60" s="9" t="s">
        <v>703</v>
      </c>
    </row>
    <row r="61" spans="1:5" x14ac:dyDescent="0.25">
      <c r="A61" s="9" t="s">
        <v>1134</v>
      </c>
      <c r="B61" s="9">
        <v>1</v>
      </c>
      <c r="C61" s="9" t="s">
        <v>703</v>
      </c>
    </row>
    <row r="62" spans="1:5" x14ac:dyDescent="0.25">
      <c r="A62" s="9" t="s">
        <v>70</v>
      </c>
      <c r="B62" s="9">
        <v>1</v>
      </c>
      <c r="C62" s="9" t="s">
        <v>71</v>
      </c>
    </row>
    <row r="63" spans="1:5" x14ac:dyDescent="0.25">
      <c r="A63" s="9" t="s">
        <v>717</v>
      </c>
      <c r="B63" s="9">
        <v>1</v>
      </c>
      <c r="C63" s="9" t="s">
        <v>71</v>
      </c>
    </row>
    <row r="64" spans="1:5" x14ac:dyDescent="0.25">
      <c r="A64" s="9" t="s">
        <v>718</v>
      </c>
      <c r="B64" s="9">
        <v>1</v>
      </c>
      <c r="C64" s="9" t="s">
        <v>74</v>
      </c>
    </row>
    <row r="65" spans="1:5" x14ac:dyDescent="0.25">
      <c r="A65" s="9" t="s">
        <v>719</v>
      </c>
      <c r="B65" s="9">
        <v>1</v>
      </c>
      <c r="C65" s="9" t="s">
        <v>74</v>
      </c>
    </row>
    <row r="66" spans="1:5" x14ac:dyDescent="0.25">
      <c r="A66" s="9" t="s">
        <v>1135</v>
      </c>
      <c r="B66" s="9">
        <v>2</v>
      </c>
      <c r="C66" s="9" t="s">
        <v>77</v>
      </c>
      <c r="D66" s="9" t="s">
        <v>80</v>
      </c>
    </row>
    <row r="67" spans="1:5" x14ac:dyDescent="0.25">
      <c r="A67" s="9" t="s">
        <v>1136</v>
      </c>
      <c r="B67" s="9">
        <v>2</v>
      </c>
      <c r="C67" s="9" t="s">
        <v>77</v>
      </c>
      <c r="D67" s="9" t="s">
        <v>80</v>
      </c>
    </row>
    <row r="68" spans="1:5" x14ac:dyDescent="0.25">
      <c r="A68" s="9" t="s">
        <v>1137</v>
      </c>
      <c r="B68" s="9">
        <v>2</v>
      </c>
      <c r="C68" s="9" t="s">
        <v>77</v>
      </c>
      <c r="D68" s="9" t="s">
        <v>80</v>
      </c>
    </row>
    <row r="69" spans="1:5" x14ac:dyDescent="0.25">
      <c r="A69" s="9" t="s">
        <v>1138</v>
      </c>
      <c r="B69" s="9">
        <v>2</v>
      </c>
      <c r="C69" s="9" t="s">
        <v>80</v>
      </c>
      <c r="D69" s="9" t="s">
        <v>77</v>
      </c>
    </row>
    <row r="70" spans="1:5" x14ac:dyDescent="0.25">
      <c r="A70" s="9" t="s">
        <v>1139</v>
      </c>
      <c r="B70" s="9">
        <v>2</v>
      </c>
      <c r="C70" s="9" t="s">
        <v>80</v>
      </c>
      <c r="D70" s="9" t="s">
        <v>77</v>
      </c>
    </row>
    <row r="71" spans="1:5" x14ac:dyDescent="0.25">
      <c r="A71" s="9" t="s">
        <v>1140</v>
      </c>
      <c r="B71" s="9">
        <v>2</v>
      </c>
      <c r="C71" s="9" t="s">
        <v>80</v>
      </c>
      <c r="D71" s="9" t="s">
        <v>77</v>
      </c>
    </row>
    <row r="72" spans="1:5" x14ac:dyDescent="0.25">
      <c r="A72" s="9" t="s">
        <v>1141</v>
      </c>
      <c r="B72" s="9">
        <v>2</v>
      </c>
      <c r="C72" s="9" t="s">
        <v>80</v>
      </c>
      <c r="D72" s="9" t="s">
        <v>77</v>
      </c>
    </row>
    <row r="73" spans="1:5" x14ac:dyDescent="0.25">
      <c r="A73" s="9" t="s">
        <v>1142</v>
      </c>
      <c r="B73" s="9">
        <v>2</v>
      </c>
      <c r="C73" s="9" t="s">
        <v>77</v>
      </c>
      <c r="D73" s="9" t="s">
        <v>80</v>
      </c>
    </row>
    <row r="74" spans="1:5" x14ac:dyDescent="0.25">
      <c r="A74" s="9" t="s">
        <v>1143</v>
      </c>
      <c r="B74" s="9">
        <v>2</v>
      </c>
      <c r="C74" s="9" t="s">
        <v>77</v>
      </c>
      <c r="D74" s="9" t="s">
        <v>80</v>
      </c>
    </row>
    <row r="75" spans="1:5" x14ac:dyDescent="0.25">
      <c r="A75" s="9" t="s">
        <v>1144</v>
      </c>
      <c r="B75" s="9">
        <v>2</v>
      </c>
      <c r="C75" s="9" t="s">
        <v>80</v>
      </c>
      <c r="D75" s="9" t="s">
        <v>77</v>
      </c>
    </row>
    <row r="76" spans="1:5" x14ac:dyDescent="0.25">
      <c r="A76" s="9" t="s">
        <v>1145</v>
      </c>
      <c r="B76" s="9">
        <v>2</v>
      </c>
      <c r="C76" s="9" t="s">
        <v>80</v>
      </c>
      <c r="D76" s="9" t="s">
        <v>77</v>
      </c>
    </row>
    <row r="77" spans="1:5" x14ac:dyDescent="0.25">
      <c r="A77" s="9" t="s">
        <v>1146</v>
      </c>
      <c r="B77" s="9">
        <v>2</v>
      </c>
      <c r="C77" s="9" t="s">
        <v>77</v>
      </c>
      <c r="D77" s="9" t="s">
        <v>80</v>
      </c>
    </row>
    <row r="78" spans="1:5" x14ac:dyDescent="0.25">
      <c r="A78" s="9" t="s">
        <v>720</v>
      </c>
      <c r="B78" s="9">
        <v>1</v>
      </c>
      <c r="C78" s="9" t="s">
        <v>83</v>
      </c>
    </row>
    <row r="79" spans="1:5" x14ac:dyDescent="0.25">
      <c r="A79" s="9" t="s">
        <v>721</v>
      </c>
      <c r="B79" s="9">
        <v>1</v>
      </c>
      <c r="C79" s="9" t="s">
        <v>83</v>
      </c>
    </row>
    <row r="80" spans="1:5" x14ac:dyDescent="0.25">
      <c r="A80" s="9" t="s">
        <v>722</v>
      </c>
      <c r="B80" s="9">
        <v>3</v>
      </c>
      <c r="C80" s="9" t="s">
        <v>92</v>
      </c>
      <c r="D80" s="9" t="s">
        <v>89</v>
      </c>
      <c r="E80" s="9" t="s">
        <v>86</v>
      </c>
    </row>
    <row r="81" spans="1:5" x14ac:dyDescent="0.25">
      <c r="A81" s="9" t="s">
        <v>723</v>
      </c>
      <c r="B81" s="9">
        <v>3</v>
      </c>
      <c r="C81" s="9" t="s">
        <v>86</v>
      </c>
      <c r="D81" s="9" t="s">
        <v>89</v>
      </c>
      <c r="E81" s="9" t="s">
        <v>92</v>
      </c>
    </row>
    <row r="82" spans="1:5" x14ac:dyDescent="0.25">
      <c r="A82" s="9" t="s">
        <v>98</v>
      </c>
      <c r="B82" s="9">
        <v>1</v>
      </c>
      <c r="C82" s="9" t="s">
        <v>99</v>
      </c>
    </row>
    <row r="83" spans="1:5" x14ac:dyDescent="0.25">
      <c r="A83" s="9" t="s">
        <v>724</v>
      </c>
      <c r="B83" s="9">
        <v>1</v>
      </c>
      <c r="C83" s="9" t="s">
        <v>99</v>
      </c>
    </row>
    <row r="84" spans="1:5" x14ac:dyDescent="0.25">
      <c r="A84" s="9" t="s">
        <v>102</v>
      </c>
      <c r="B84" s="9">
        <v>1</v>
      </c>
      <c r="C84" s="9" t="s">
        <v>103</v>
      </c>
    </row>
    <row r="85" spans="1:5" x14ac:dyDescent="0.25">
      <c r="A85" s="9" t="s">
        <v>725</v>
      </c>
      <c r="B85" s="9">
        <v>1</v>
      </c>
      <c r="C85" s="9" t="s">
        <v>103</v>
      </c>
    </row>
    <row r="86" spans="1:5" x14ac:dyDescent="0.25">
      <c r="A86" s="9" t="s">
        <v>106</v>
      </c>
      <c r="B86" s="9">
        <v>1</v>
      </c>
      <c r="C86" s="9" t="s">
        <v>107</v>
      </c>
    </row>
    <row r="87" spans="1:5" x14ac:dyDescent="0.25">
      <c r="A87" s="9" t="s">
        <v>110</v>
      </c>
      <c r="B87" s="9">
        <v>1</v>
      </c>
      <c r="C87" s="9" t="s">
        <v>107</v>
      </c>
    </row>
    <row r="88" spans="1:5" x14ac:dyDescent="0.25">
      <c r="A88" s="9" t="s">
        <v>111</v>
      </c>
      <c r="B88" s="9">
        <v>2</v>
      </c>
      <c r="C88" s="9" t="s">
        <v>112</v>
      </c>
      <c r="D88" s="9" t="s">
        <v>115</v>
      </c>
    </row>
    <row r="89" spans="1:5" x14ac:dyDescent="0.25">
      <c r="A89" s="9" t="s">
        <v>726</v>
      </c>
      <c r="B89" s="9">
        <v>2</v>
      </c>
      <c r="C89" s="9" t="s">
        <v>112</v>
      </c>
      <c r="D89" s="9" t="s">
        <v>115</v>
      </c>
    </row>
    <row r="90" spans="1:5" x14ac:dyDescent="0.25">
      <c r="A90" s="9" t="s">
        <v>727</v>
      </c>
      <c r="B90" s="9">
        <v>1</v>
      </c>
      <c r="C90" s="9" t="s">
        <v>118</v>
      </c>
    </row>
    <row r="91" spans="1:5" x14ac:dyDescent="0.25">
      <c r="A91" s="9" t="s">
        <v>728</v>
      </c>
      <c r="B91" s="9">
        <v>1</v>
      </c>
      <c r="C91" s="9" t="s">
        <v>118</v>
      </c>
    </row>
    <row r="92" spans="1:5" x14ac:dyDescent="0.25">
      <c r="A92" s="9" t="s">
        <v>1147</v>
      </c>
      <c r="B92" s="9">
        <v>1</v>
      </c>
      <c r="C92" s="9" t="s">
        <v>118</v>
      </c>
    </row>
    <row r="93" spans="1:5" x14ac:dyDescent="0.25">
      <c r="A93" s="9" t="s">
        <v>1148</v>
      </c>
      <c r="B93" s="9">
        <v>1</v>
      </c>
      <c r="C93" s="9" t="s">
        <v>118</v>
      </c>
    </row>
    <row r="94" spans="1:5" x14ac:dyDescent="0.25">
      <c r="A94" s="9" t="s">
        <v>121</v>
      </c>
      <c r="B94" s="9">
        <v>1</v>
      </c>
      <c r="C94" s="9" t="s">
        <v>118</v>
      </c>
    </row>
    <row r="95" spans="1:5" x14ac:dyDescent="0.25">
      <c r="A95" s="9" t="s">
        <v>729</v>
      </c>
      <c r="B95" s="9">
        <v>1</v>
      </c>
      <c r="C95" s="9" t="s">
        <v>118</v>
      </c>
    </row>
    <row r="96" spans="1:5" x14ac:dyDescent="0.25">
      <c r="A96" s="9" t="s">
        <v>125</v>
      </c>
      <c r="B96" s="9">
        <v>2</v>
      </c>
      <c r="C96" s="9" t="s">
        <v>126</v>
      </c>
      <c r="D96" s="9" t="s">
        <v>122</v>
      </c>
    </row>
    <row r="97" spans="1:6" x14ac:dyDescent="0.25">
      <c r="A97" s="9" t="s">
        <v>730</v>
      </c>
      <c r="B97" s="9">
        <v>2</v>
      </c>
      <c r="C97" s="9" t="s">
        <v>126</v>
      </c>
      <c r="D97" s="9" t="s">
        <v>122</v>
      </c>
      <c r="E97" s="27"/>
      <c r="F97" s="27"/>
    </row>
    <row r="98" spans="1:6" x14ac:dyDescent="0.25">
      <c r="A98" s="9" t="s">
        <v>129</v>
      </c>
      <c r="C98" s="9" t="s">
        <v>139</v>
      </c>
      <c r="E98" s="9" t="s">
        <v>133</v>
      </c>
    </row>
    <row r="99" spans="1:6" x14ac:dyDescent="0.25">
      <c r="A99" s="9" t="s">
        <v>731</v>
      </c>
      <c r="B99" s="9">
        <v>3</v>
      </c>
      <c r="C99" s="9" t="s">
        <v>133</v>
      </c>
      <c r="D99" s="9" t="s">
        <v>130</v>
      </c>
      <c r="E99" s="9" t="s">
        <v>139</v>
      </c>
    </row>
    <row r="100" spans="1:6" x14ac:dyDescent="0.25">
      <c r="A100" s="9" t="s">
        <v>142</v>
      </c>
      <c r="B100" s="9">
        <v>1</v>
      </c>
      <c r="C100" s="9" t="s">
        <v>19</v>
      </c>
    </row>
    <row r="101" spans="1:6" x14ac:dyDescent="0.25">
      <c r="A101" s="9" t="s">
        <v>732</v>
      </c>
      <c r="B101" s="9">
        <v>1</v>
      </c>
      <c r="C101" s="9" t="s">
        <v>19</v>
      </c>
    </row>
    <row r="102" spans="1:6" x14ac:dyDescent="0.25">
      <c r="A102" s="9" t="s">
        <v>1149</v>
      </c>
      <c r="B102" s="9">
        <v>1</v>
      </c>
      <c r="C102" s="9" t="s">
        <v>143</v>
      </c>
    </row>
    <row r="103" spans="1:6" x14ac:dyDescent="0.25">
      <c r="A103" s="9" t="s">
        <v>1150</v>
      </c>
      <c r="B103" s="9">
        <v>1</v>
      </c>
      <c r="C103" s="9" t="s">
        <v>143</v>
      </c>
    </row>
    <row r="104" spans="1:6" x14ac:dyDescent="0.25">
      <c r="A104" s="9" t="s">
        <v>145</v>
      </c>
      <c r="B104" s="9">
        <v>1</v>
      </c>
      <c r="C104" s="9" t="s">
        <v>146</v>
      </c>
    </row>
    <row r="105" spans="1:6" x14ac:dyDescent="0.25">
      <c r="A105" s="9" t="s">
        <v>734</v>
      </c>
      <c r="B105" s="9">
        <v>1</v>
      </c>
      <c r="C105" s="9" t="s">
        <v>146</v>
      </c>
    </row>
    <row r="106" spans="1:6" x14ac:dyDescent="0.25">
      <c r="A106" s="9" t="s">
        <v>149</v>
      </c>
      <c r="B106" s="9">
        <v>2</v>
      </c>
      <c r="C106" s="9" t="s">
        <v>153</v>
      </c>
      <c r="D106" s="9" t="s">
        <v>150</v>
      </c>
    </row>
    <row r="107" spans="1:6" x14ac:dyDescent="0.25">
      <c r="A107" s="9" t="s">
        <v>735</v>
      </c>
      <c r="B107" s="9">
        <v>2</v>
      </c>
      <c r="C107" s="9" t="s">
        <v>153</v>
      </c>
      <c r="D107" s="9" t="s">
        <v>150</v>
      </c>
    </row>
    <row r="108" spans="1:6" x14ac:dyDescent="0.25">
      <c r="A108" s="9" t="s">
        <v>736</v>
      </c>
      <c r="B108" s="9">
        <v>1</v>
      </c>
      <c r="C108" s="9" t="s">
        <v>118</v>
      </c>
    </row>
    <row r="109" spans="1:6" x14ac:dyDescent="0.25">
      <c r="A109" s="9" t="s">
        <v>737</v>
      </c>
      <c r="B109" s="9">
        <v>1</v>
      </c>
      <c r="C109" s="9" t="s">
        <v>118</v>
      </c>
    </row>
    <row r="110" spans="1:6" x14ac:dyDescent="0.25">
      <c r="A110" s="9" t="s">
        <v>156</v>
      </c>
      <c r="B110" s="9">
        <v>1</v>
      </c>
      <c r="C110" s="9" t="s">
        <v>57</v>
      </c>
    </row>
    <row r="111" spans="1:6" x14ac:dyDescent="0.25">
      <c r="A111" s="9" t="s">
        <v>157</v>
      </c>
      <c r="B111" s="9">
        <v>1</v>
      </c>
      <c r="C111" s="9" t="s">
        <v>57</v>
      </c>
    </row>
    <row r="112" spans="1:6" x14ac:dyDescent="0.25">
      <c r="A112" s="9" t="s">
        <v>161</v>
      </c>
      <c r="B112" s="9">
        <v>1</v>
      </c>
      <c r="C112" s="9" t="s">
        <v>158</v>
      </c>
    </row>
    <row r="113" spans="1:3" x14ac:dyDescent="0.25">
      <c r="A113" s="9" t="s">
        <v>738</v>
      </c>
      <c r="B113" s="9">
        <v>1</v>
      </c>
      <c r="C113" s="9" t="s">
        <v>158</v>
      </c>
    </row>
    <row r="114" spans="1:3" x14ac:dyDescent="0.25">
      <c r="A114" s="9" t="s">
        <v>162</v>
      </c>
      <c r="B114" s="9">
        <v>1</v>
      </c>
      <c r="C114" s="9" t="s">
        <v>146</v>
      </c>
    </row>
    <row r="115" spans="1:3" x14ac:dyDescent="0.25">
      <c r="A115" s="9" t="s">
        <v>739</v>
      </c>
      <c r="B115" s="9">
        <v>1</v>
      </c>
      <c r="C115" s="9" t="s">
        <v>146</v>
      </c>
    </row>
    <row r="116" spans="1:3" x14ac:dyDescent="0.25">
      <c r="A116" s="9" t="s">
        <v>163</v>
      </c>
      <c r="B116" s="9">
        <v>1</v>
      </c>
      <c r="C116" s="9" t="s">
        <v>107</v>
      </c>
    </row>
    <row r="117" spans="1:3" x14ac:dyDescent="0.25">
      <c r="A117" s="9" t="s">
        <v>1151</v>
      </c>
      <c r="B117" s="9">
        <v>1</v>
      </c>
      <c r="C117" s="9" t="s">
        <v>107</v>
      </c>
    </row>
    <row r="118" spans="1:3" x14ac:dyDescent="0.25">
      <c r="A118" s="9" t="s">
        <v>164</v>
      </c>
      <c r="B118" s="9">
        <v>1</v>
      </c>
      <c r="C118" s="9" t="s">
        <v>165</v>
      </c>
    </row>
    <row r="119" spans="1:3" x14ac:dyDescent="0.25">
      <c r="A119" s="9" t="s">
        <v>740</v>
      </c>
      <c r="B119" s="9">
        <v>1</v>
      </c>
      <c r="C119" s="9" t="s">
        <v>165</v>
      </c>
    </row>
    <row r="120" spans="1:3" x14ac:dyDescent="0.25">
      <c r="A120" s="9" t="s">
        <v>171</v>
      </c>
      <c r="B120" s="9">
        <v>1</v>
      </c>
      <c r="C120" s="9" t="s">
        <v>168</v>
      </c>
    </row>
    <row r="121" spans="1:3" x14ac:dyDescent="0.25">
      <c r="A121" s="9" t="s">
        <v>741</v>
      </c>
      <c r="B121" s="9">
        <v>1</v>
      </c>
      <c r="C121" s="9" t="s">
        <v>168</v>
      </c>
    </row>
    <row r="122" spans="1:3" x14ac:dyDescent="0.25">
      <c r="A122" s="9" t="s">
        <v>172</v>
      </c>
      <c r="B122" s="9">
        <v>1</v>
      </c>
      <c r="C122" s="9" t="s">
        <v>107</v>
      </c>
    </row>
    <row r="123" spans="1:3" x14ac:dyDescent="0.25">
      <c r="A123" s="9" t="s">
        <v>173</v>
      </c>
      <c r="B123" s="9">
        <v>1</v>
      </c>
      <c r="C123" s="9" t="s">
        <v>107</v>
      </c>
    </row>
    <row r="124" spans="1:3" x14ac:dyDescent="0.25">
      <c r="A124" s="9" t="s">
        <v>174</v>
      </c>
      <c r="B124" s="9">
        <v>1</v>
      </c>
      <c r="C124" s="9" t="s">
        <v>107</v>
      </c>
    </row>
    <row r="125" spans="1:3" x14ac:dyDescent="0.25">
      <c r="A125" s="9" t="s">
        <v>175</v>
      </c>
      <c r="B125" s="9">
        <v>1</v>
      </c>
      <c r="C125" s="9" t="s">
        <v>107</v>
      </c>
    </row>
    <row r="126" spans="1:3" x14ac:dyDescent="0.25">
      <c r="A126" s="9" t="s">
        <v>176</v>
      </c>
      <c r="B126" s="9">
        <v>1</v>
      </c>
      <c r="C126" s="9" t="s">
        <v>177</v>
      </c>
    </row>
    <row r="127" spans="1:3" x14ac:dyDescent="0.25">
      <c r="A127" s="9" t="s">
        <v>742</v>
      </c>
      <c r="B127" s="9">
        <v>1</v>
      </c>
      <c r="C127" s="9" t="s">
        <v>177</v>
      </c>
    </row>
    <row r="128" spans="1:3" x14ac:dyDescent="0.25">
      <c r="A128" s="9" t="s">
        <v>180</v>
      </c>
      <c r="B128" s="9">
        <v>1</v>
      </c>
      <c r="C128" s="9" t="s">
        <v>181</v>
      </c>
    </row>
    <row r="129" spans="1:5" x14ac:dyDescent="0.25">
      <c r="A129" s="9" t="s">
        <v>1152</v>
      </c>
      <c r="B129" s="9">
        <v>1</v>
      </c>
      <c r="C129" s="9" t="s">
        <v>181</v>
      </c>
    </row>
    <row r="130" spans="1:5" x14ac:dyDescent="0.25">
      <c r="A130" s="9" t="s">
        <v>743</v>
      </c>
      <c r="B130" s="9">
        <v>1</v>
      </c>
      <c r="C130" s="9" t="s">
        <v>184</v>
      </c>
    </row>
    <row r="131" spans="1:5" x14ac:dyDescent="0.25">
      <c r="A131" s="9" t="s">
        <v>744</v>
      </c>
      <c r="B131" s="9">
        <v>1</v>
      </c>
      <c r="C131" s="9" t="s">
        <v>184</v>
      </c>
    </row>
    <row r="132" spans="1:5" x14ac:dyDescent="0.25">
      <c r="A132" s="9" t="s">
        <v>745</v>
      </c>
      <c r="B132" s="9">
        <v>1</v>
      </c>
      <c r="C132" s="9" t="s">
        <v>184</v>
      </c>
    </row>
    <row r="133" spans="1:5" x14ac:dyDescent="0.25">
      <c r="A133" s="9" t="s">
        <v>746</v>
      </c>
      <c r="B133" s="9">
        <v>1</v>
      </c>
      <c r="C133" s="9" t="s">
        <v>184</v>
      </c>
    </row>
    <row r="134" spans="1:5" x14ac:dyDescent="0.25">
      <c r="A134" s="9" t="s">
        <v>1153</v>
      </c>
      <c r="B134" s="9">
        <v>1</v>
      </c>
      <c r="C134" s="9" t="s">
        <v>703</v>
      </c>
    </row>
    <row r="135" spans="1:5" x14ac:dyDescent="0.25">
      <c r="A135" s="9" t="s">
        <v>1154</v>
      </c>
      <c r="B135" s="9">
        <v>1</v>
      </c>
      <c r="C135" s="9" t="s">
        <v>703</v>
      </c>
    </row>
    <row r="136" spans="1:5" x14ac:dyDescent="0.25">
      <c r="A136" s="9" t="s">
        <v>187</v>
      </c>
      <c r="B136" s="9">
        <v>3</v>
      </c>
      <c r="C136" s="9" t="s">
        <v>103</v>
      </c>
      <c r="D136" s="9" t="s">
        <v>67</v>
      </c>
      <c r="E136" s="9" t="s">
        <v>188</v>
      </c>
    </row>
    <row r="137" spans="1:5" x14ac:dyDescent="0.25">
      <c r="A137" s="9" t="s">
        <v>191</v>
      </c>
      <c r="B137" s="9">
        <v>2</v>
      </c>
      <c r="C137" s="9" t="s">
        <v>67</v>
      </c>
      <c r="D137" s="9" t="s">
        <v>188</v>
      </c>
      <c r="E137" s="9" t="s">
        <v>103</v>
      </c>
    </row>
    <row r="138" spans="1:5" x14ac:dyDescent="0.25">
      <c r="A138" s="9" t="s">
        <v>747</v>
      </c>
      <c r="B138" s="9">
        <v>3</v>
      </c>
      <c r="C138" s="9" t="s">
        <v>103</v>
      </c>
      <c r="D138" s="9" t="s">
        <v>188</v>
      </c>
      <c r="E138" s="9" t="s">
        <v>67</v>
      </c>
    </row>
    <row r="139" spans="1:5" x14ac:dyDescent="0.25">
      <c r="A139" s="9" t="s">
        <v>748</v>
      </c>
      <c r="B139" s="9">
        <v>2</v>
      </c>
      <c r="C139" s="9" t="s">
        <v>67</v>
      </c>
      <c r="D139" s="9" t="s">
        <v>188</v>
      </c>
      <c r="E139" s="9" t="s">
        <v>103</v>
      </c>
    </row>
    <row r="140" spans="1:5" x14ac:dyDescent="0.25">
      <c r="A140" s="9" t="s">
        <v>192</v>
      </c>
      <c r="B140" s="9">
        <v>1</v>
      </c>
      <c r="C140" s="9" t="s">
        <v>193</v>
      </c>
    </row>
    <row r="141" spans="1:5" x14ac:dyDescent="0.25">
      <c r="A141" s="9" t="s">
        <v>749</v>
      </c>
      <c r="B141" s="9">
        <v>1</v>
      </c>
      <c r="C141" s="9" t="s">
        <v>193</v>
      </c>
    </row>
    <row r="142" spans="1:5" x14ac:dyDescent="0.25">
      <c r="A142" s="9" t="s">
        <v>196</v>
      </c>
      <c r="B142" s="9">
        <v>1</v>
      </c>
      <c r="C142" s="9" t="s">
        <v>146</v>
      </c>
    </row>
    <row r="143" spans="1:5" x14ac:dyDescent="0.25">
      <c r="A143" s="9" t="s">
        <v>197</v>
      </c>
      <c r="B143" s="9">
        <v>1</v>
      </c>
      <c r="C143" s="9" t="s">
        <v>198</v>
      </c>
    </row>
    <row r="144" spans="1:5" x14ac:dyDescent="0.25">
      <c r="A144" s="9" t="s">
        <v>200</v>
      </c>
      <c r="B144" s="9">
        <v>2</v>
      </c>
      <c r="C144" s="9" t="s">
        <v>107</v>
      </c>
      <c r="D144" s="9" t="s">
        <v>198</v>
      </c>
    </row>
    <row r="145" spans="1:4" x14ac:dyDescent="0.25">
      <c r="A145" s="9" t="s">
        <v>201</v>
      </c>
      <c r="B145" s="9">
        <v>1</v>
      </c>
      <c r="C145" s="9" t="s">
        <v>107</v>
      </c>
      <c r="D145" s="9" t="s">
        <v>198</v>
      </c>
    </row>
    <row r="146" spans="1:4" x14ac:dyDescent="0.25">
      <c r="A146" s="9" t="s">
        <v>202</v>
      </c>
      <c r="B146" s="9">
        <v>1</v>
      </c>
      <c r="C146" s="9" t="s">
        <v>203</v>
      </c>
    </row>
    <row r="147" spans="1:4" x14ac:dyDescent="0.25">
      <c r="A147" s="9" t="s">
        <v>206</v>
      </c>
      <c r="B147" s="9">
        <v>1</v>
      </c>
      <c r="C147" s="9" t="s">
        <v>203</v>
      </c>
    </row>
    <row r="148" spans="1:4" x14ac:dyDescent="0.25">
      <c r="A148" s="9" t="s">
        <v>207</v>
      </c>
      <c r="B148" s="9">
        <v>1</v>
      </c>
      <c r="C148" s="9" t="s">
        <v>203</v>
      </c>
    </row>
    <row r="149" spans="1:4" x14ac:dyDescent="0.25">
      <c r="A149" s="9" t="s">
        <v>208</v>
      </c>
      <c r="B149" s="9">
        <v>2</v>
      </c>
      <c r="C149" s="9" t="s">
        <v>22</v>
      </c>
      <c r="D149" s="9" t="s">
        <v>1185</v>
      </c>
    </row>
    <row r="150" spans="1:4" x14ac:dyDescent="0.25">
      <c r="A150" s="9" t="s">
        <v>209</v>
      </c>
      <c r="B150" s="9">
        <v>2</v>
      </c>
      <c r="C150" s="9" t="s">
        <v>1185</v>
      </c>
      <c r="D150" s="9" t="s">
        <v>22</v>
      </c>
    </row>
    <row r="151" spans="1:4" x14ac:dyDescent="0.25">
      <c r="A151" s="9" t="s">
        <v>210</v>
      </c>
      <c r="B151" s="9">
        <v>2</v>
      </c>
      <c r="C151" s="9" t="s">
        <v>22</v>
      </c>
      <c r="D151" s="9" t="s">
        <v>1185</v>
      </c>
    </row>
    <row r="152" spans="1:4" x14ac:dyDescent="0.25">
      <c r="A152" s="9" t="s">
        <v>211</v>
      </c>
      <c r="B152" s="9">
        <v>2</v>
      </c>
      <c r="C152" s="9" t="s">
        <v>1185</v>
      </c>
      <c r="D152" s="9" t="s">
        <v>22</v>
      </c>
    </row>
    <row r="153" spans="1:4" x14ac:dyDescent="0.25">
      <c r="A153" s="9" t="s">
        <v>212</v>
      </c>
      <c r="B153" s="9">
        <v>1</v>
      </c>
      <c r="C153" s="9" t="s">
        <v>37</v>
      </c>
    </row>
    <row r="154" spans="1:4" x14ac:dyDescent="0.25">
      <c r="A154" s="9" t="s">
        <v>213</v>
      </c>
      <c r="B154" s="9">
        <v>1</v>
      </c>
      <c r="C154" s="9" t="s">
        <v>57</v>
      </c>
    </row>
    <row r="155" spans="1:4" x14ac:dyDescent="0.25">
      <c r="A155" s="9" t="s">
        <v>214</v>
      </c>
      <c r="B155" s="9">
        <v>2</v>
      </c>
      <c r="C155" s="9" t="s">
        <v>218</v>
      </c>
      <c r="D155" s="9" t="s">
        <v>215</v>
      </c>
    </row>
    <row r="156" spans="1:4" x14ac:dyDescent="0.25">
      <c r="A156" s="9" t="s">
        <v>221</v>
      </c>
      <c r="B156" s="9">
        <v>1</v>
      </c>
      <c r="C156" s="9" t="s">
        <v>222</v>
      </c>
    </row>
    <row r="157" spans="1:4" x14ac:dyDescent="0.25">
      <c r="A157" s="9" t="s">
        <v>225</v>
      </c>
      <c r="B157" s="9">
        <v>1</v>
      </c>
      <c r="C157" s="9" t="s">
        <v>222</v>
      </c>
    </row>
    <row r="158" spans="1:4" x14ac:dyDescent="0.25">
      <c r="A158" s="9" t="s">
        <v>226</v>
      </c>
      <c r="B158" s="9">
        <v>1</v>
      </c>
      <c r="C158" s="9" t="s">
        <v>158</v>
      </c>
    </row>
    <row r="159" spans="1:4" x14ac:dyDescent="0.25">
      <c r="A159" s="9" t="s">
        <v>750</v>
      </c>
      <c r="B159" s="9">
        <v>1</v>
      </c>
      <c r="C159" s="9" t="s">
        <v>158</v>
      </c>
    </row>
    <row r="160" spans="1:4" x14ac:dyDescent="0.25">
      <c r="A160" s="9" t="s">
        <v>227</v>
      </c>
      <c r="B160" s="9">
        <v>1</v>
      </c>
      <c r="C160" s="9" t="s">
        <v>228</v>
      </c>
    </row>
    <row r="161" spans="1:4" x14ac:dyDescent="0.25">
      <c r="A161" s="9" t="s">
        <v>231</v>
      </c>
      <c r="B161" s="9">
        <v>1</v>
      </c>
      <c r="C161" s="9" t="s">
        <v>231</v>
      </c>
    </row>
    <row r="162" spans="1:4" x14ac:dyDescent="0.25">
      <c r="A162" s="9" t="s">
        <v>235</v>
      </c>
      <c r="B162" s="9">
        <v>1</v>
      </c>
      <c r="C162" s="9" t="s">
        <v>198</v>
      </c>
    </row>
    <row r="163" spans="1:4" x14ac:dyDescent="0.25">
      <c r="A163" s="9" t="s">
        <v>236</v>
      </c>
      <c r="B163" s="9">
        <v>1</v>
      </c>
      <c r="C163" s="9" t="s">
        <v>198</v>
      </c>
    </row>
    <row r="164" spans="1:4" x14ac:dyDescent="0.25">
      <c r="A164" s="9" t="s">
        <v>237</v>
      </c>
      <c r="B164" s="9">
        <v>1</v>
      </c>
      <c r="C164" s="9" t="s">
        <v>198</v>
      </c>
    </row>
    <row r="165" spans="1:4" x14ac:dyDescent="0.25">
      <c r="A165" s="9" t="s">
        <v>238</v>
      </c>
      <c r="B165" s="9">
        <v>1</v>
      </c>
      <c r="C165" s="9" t="s">
        <v>239</v>
      </c>
    </row>
    <row r="166" spans="1:4" x14ac:dyDescent="0.25">
      <c r="A166" s="9" t="s">
        <v>245</v>
      </c>
      <c r="B166" s="9">
        <v>1</v>
      </c>
      <c r="C166" s="9" t="s">
        <v>37</v>
      </c>
    </row>
    <row r="167" spans="1:4" x14ac:dyDescent="0.25">
      <c r="A167" s="9" t="s">
        <v>1155</v>
      </c>
      <c r="B167" s="9">
        <v>1</v>
      </c>
      <c r="C167" s="9" t="s">
        <v>246</v>
      </c>
    </row>
    <row r="168" spans="1:4" x14ac:dyDescent="0.25">
      <c r="A168" s="9" t="s">
        <v>1156</v>
      </c>
      <c r="B168" s="9">
        <v>1</v>
      </c>
      <c r="C168" s="9" t="s">
        <v>246</v>
      </c>
    </row>
    <row r="169" spans="1:4" x14ac:dyDescent="0.25">
      <c r="A169" s="9" t="s">
        <v>1157</v>
      </c>
      <c r="B169" s="9">
        <v>1</v>
      </c>
      <c r="C169" s="9" t="s">
        <v>246</v>
      </c>
    </row>
    <row r="170" spans="1:4" x14ac:dyDescent="0.25">
      <c r="A170" s="9" t="s">
        <v>1158</v>
      </c>
      <c r="B170" s="9">
        <v>1</v>
      </c>
      <c r="C170" s="9" t="s">
        <v>246</v>
      </c>
    </row>
    <row r="171" spans="1:4" x14ac:dyDescent="0.25">
      <c r="A171" s="9" t="s">
        <v>248</v>
      </c>
      <c r="B171" s="9">
        <v>2</v>
      </c>
      <c r="C171" s="9" t="s">
        <v>249</v>
      </c>
      <c r="D171" s="9" t="s">
        <v>184</v>
      </c>
    </row>
    <row r="172" spans="1:4" x14ac:dyDescent="0.25">
      <c r="A172" s="9" t="s">
        <v>252</v>
      </c>
      <c r="B172" s="9">
        <v>1</v>
      </c>
      <c r="C172" s="9" t="s">
        <v>253</v>
      </c>
    </row>
    <row r="173" spans="1:4" x14ac:dyDescent="0.25">
      <c r="A173" s="9" t="s">
        <v>256</v>
      </c>
      <c r="B173" s="9">
        <v>1</v>
      </c>
      <c r="C173" s="9" t="s">
        <v>257</v>
      </c>
    </row>
    <row r="174" spans="1:4" x14ac:dyDescent="0.25">
      <c r="A174" s="9" t="s">
        <v>260</v>
      </c>
      <c r="B174" s="9">
        <v>1</v>
      </c>
      <c r="C174" s="9" t="s">
        <v>203</v>
      </c>
    </row>
    <row r="175" spans="1:4" x14ac:dyDescent="0.25">
      <c r="A175" s="9" t="s">
        <v>261</v>
      </c>
      <c r="B175" s="9">
        <v>1</v>
      </c>
      <c r="C175" s="9" t="s">
        <v>203</v>
      </c>
    </row>
    <row r="176" spans="1:4" x14ac:dyDescent="0.25">
      <c r="A176" s="9" t="s">
        <v>262</v>
      </c>
      <c r="B176" s="9">
        <v>1</v>
      </c>
      <c r="C176" s="9" t="s">
        <v>263</v>
      </c>
    </row>
    <row r="177" spans="1:5" x14ac:dyDescent="0.25">
      <c r="A177" s="9" t="s">
        <v>266</v>
      </c>
      <c r="B177" s="9">
        <v>3</v>
      </c>
      <c r="C177" s="9" t="s">
        <v>703</v>
      </c>
      <c r="D177" s="9" t="s">
        <v>1159</v>
      </c>
      <c r="E177" s="9" t="s">
        <v>752</v>
      </c>
    </row>
    <row r="178" spans="1:5" x14ac:dyDescent="0.25">
      <c r="A178" s="9" t="s">
        <v>268</v>
      </c>
      <c r="B178" s="9">
        <v>1</v>
      </c>
      <c r="C178" s="9" t="s">
        <v>139</v>
      </c>
    </row>
    <row r="179" spans="1:5" x14ac:dyDescent="0.25">
      <c r="A179" s="9" t="s">
        <v>269</v>
      </c>
      <c r="B179" s="9">
        <v>1</v>
      </c>
      <c r="C179" s="9" t="s">
        <v>703</v>
      </c>
    </row>
    <row r="180" spans="1:5" x14ac:dyDescent="0.25">
      <c r="A180" s="9" t="s">
        <v>270</v>
      </c>
      <c r="B180" s="9">
        <v>2</v>
      </c>
      <c r="C180" s="9" t="s">
        <v>218</v>
      </c>
      <c r="D180" s="9" t="s">
        <v>215</v>
      </c>
    </row>
    <row r="181" spans="1:5" x14ac:dyDescent="0.25">
      <c r="A181" s="9" t="s">
        <v>271</v>
      </c>
      <c r="B181" s="9">
        <v>2</v>
      </c>
      <c r="C181" s="9" t="s">
        <v>218</v>
      </c>
      <c r="D181" s="9" t="s">
        <v>215</v>
      </c>
    </row>
    <row r="182" spans="1:5" x14ac:dyDescent="0.25">
      <c r="A182" s="9" t="s">
        <v>272</v>
      </c>
      <c r="B182" s="9">
        <v>2</v>
      </c>
      <c r="C182" s="9" t="s">
        <v>80</v>
      </c>
      <c r="D182" s="9" t="s">
        <v>77</v>
      </c>
    </row>
    <row r="183" spans="1:5" x14ac:dyDescent="0.25">
      <c r="A183" s="9" t="s">
        <v>273</v>
      </c>
      <c r="B183" s="9">
        <v>1</v>
      </c>
      <c r="C183" s="9" t="s">
        <v>274</v>
      </c>
    </row>
    <row r="184" spans="1:5" x14ac:dyDescent="0.25">
      <c r="A184" s="9" t="s">
        <v>277</v>
      </c>
      <c r="B184" s="9">
        <v>2</v>
      </c>
      <c r="C184" s="9" t="s">
        <v>80</v>
      </c>
      <c r="D184" s="9" t="s">
        <v>77</v>
      </c>
    </row>
    <row r="185" spans="1:5" x14ac:dyDescent="0.25">
      <c r="A185" s="9" t="s">
        <v>1161</v>
      </c>
      <c r="B185" s="9">
        <v>1</v>
      </c>
      <c r="C185" s="9" t="s">
        <v>1162</v>
      </c>
    </row>
    <row r="186" spans="1:5" x14ac:dyDescent="0.25">
      <c r="A186" s="9" t="s">
        <v>1164</v>
      </c>
      <c r="B186" s="9">
        <v>1</v>
      </c>
      <c r="C186" s="9" t="s">
        <v>1162</v>
      </c>
    </row>
    <row r="187" spans="1:5" x14ac:dyDescent="0.25">
      <c r="A187" s="9" t="s">
        <v>278</v>
      </c>
      <c r="B187" s="9">
        <v>1</v>
      </c>
      <c r="C187" s="9" t="s">
        <v>107</v>
      </c>
    </row>
    <row r="188" spans="1:5" x14ac:dyDescent="0.25">
      <c r="A188" s="9" t="s">
        <v>279</v>
      </c>
      <c r="B188" s="9">
        <v>1</v>
      </c>
      <c r="C188" s="9" t="s">
        <v>143</v>
      </c>
    </row>
    <row r="189" spans="1:5" x14ac:dyDescent="0.25">
      <c r="A189" s="9" t="s">
        <v>286</v>
      </c>
      <c r="B189" s="9">
        <v>1</v>
      </c>
      <c r="C189" s="9" t="s">
        <v>228</v>
      </c>
    </row>
    <row r="190" spans="1:5" x14ac:dyDescent="0.25">
      <c r="A190" s="9" t="s">
        <v>287</v>
      </c>
      <c r="B190" s="9">
        <v>1</v>
      </c>
      <c r="C190" s="9" t="s">
        <v>228</v>
      </c>
    </row>
    <row r="191" spans="1:5" x14ac:dyDescent="0.25">
      <c r="A191" s="9" t="s">
        <v>288</v>
      </c>
      <c r="B191" s="9">
        <v>1</v>
      </c>
      <c r="C191" s="9" t="s">
        <v>228</v>
      </c>
    </row>
    <row r="192" spans="1:5" x14ac:dyDescent="0.25">
      <c r="A192" s="9" t="s">
        <v>289</v>
      </c>
      <c r="B192" s="9">
        <v>1</v>
      </c>
      <c r="C192" s="9" t="s">
        <v>228</v>
      </c>
    </row>
    <row r="193" spans="1:5" x14ac:dyDescent="0.25">
      <c r="A193" s="9" t="s">
        <v>290</v>
      </c>
      <c r="B193" s="9">
        <v>2</v>
      </c>
      <c r="C193" s="9" t="s">
        <v>77</v>
      </c>
      <c r="D193" s="9" t="s">
        <v>80</v>
      </c>
    </row>
    <row r="194" spans="1:5" x14ac:dyDescent="0.25">
      <c r="A194" s="9" t="s">
        <v>291</v>
      </c>
      <c r="B194" s="9">
        <v>1</v>
      </c>
      <c r="C194" s="9" t="s">
        <v>292</v>
      </c>
    </row>
    <row r="195" spans="1:5" x14ac:dyDescent="0.25">
      <c r="A195" s="9" t="s">
        <v>295</v>
      </c>
      <c r="B195" s="9">
        <v>2</v>
      </c>
      <c r="C195" s="9" t="s">
        <v>80</v>
      </c>
      <c r="D195" s="9" t="s">
        <v>77</v>
      </c>
    </row>
    <row r="196" spans="1:5" x14ac:dyDescent="0.25">
      <c r="A196" s="9" t="s">
        <v>296</v>
      </c>
      <c r="B196" s="9">
        <v>1</v>
      </c>
      <c r="C196" s="9" t="s">
        <v>703</v>
      </c>
    </row>
    <row r="197" spans="1:5" x14ac:dyDescent="0.25">
      <c r="A197" s="9" t="s">
        <v>297</v>
      </c>
      <c r="B197" s="9">
        <v>1</v>
      </c>
      <c r="C197" s="9" t="s">
        <v>703</v>
      </c>
    </row>
    <row r="198" spans="1:5" x14ac:dyDescent="0.25">
      <c r="A198" s="9" t="s">
        <v>298</v>
      </c>
      <c r="B198" s="9">
        <v>1</v>
      </c>
      <c r="C198" s="9" t="s">
        <v>703</v>
      </c>
    </row>
    <row r="199" spans="1:5" x14ac:dyDescent="0.25">
      <c r="A199" s="9" t="s">
        <v>299</v>
      </c>
      <c r="B199" s="9">
        <v>1</v>
      </c>
      <c r="C199" s="9" t="s">
        <v>300</v>
      </c>
    </row>
    <row r="200" spans="1:5" x14ac:dyDescent="0.25">
      <c r="A200" s="9" t="s">
        <v>303</v>
      </c>
      <c r="B200" s="9">
        <v>1</v>
      </c>
      <c r="C200" s="9" t="s">
        <v>107</v>
      </c>
    </row>
    <row r="201" spans="1:5" x14ac:dyDescent="0.25">
      <c r="A201" s="9" t="s">
        <v>304</v>
      </c>
      <c r="B201" s="9">
        <v>1</v>
      </c>
      <c r="C201" s="9" t="s">
        <v>107</v>
      </c>
    </row>
    <row r="202" spans="1:5" x14ac:dyDescent="0.25">
      <c r="A202" s="9" t="s">
        <v>305</v>
      </c>
      <c r="B202" s="9">
        <v>2</v>
      </c>
      <c r="C202" s="9" t="s">
        <v>77</v>
      </c>
      <c r="D202" s="9" t="s">
        <v>80</v>
      </c>
    </row>
    <row r="203" spans="1:5" x14ac:dyDescent="0.25">
      <c r="A203" s="9" t="s">
        <v>306</v>
      </c>
      <c r="B203" s="9">
        <v>3</v>
      </c>
      <c r="C203" s="9" t="s">
        <v>313</v>
      </c>
      <c r="D203" s="9" t="s">
        <v>310</v>
      </c>
      <c r="E203" s="9" t="s">
        <v>307</v>
      </c>
    </row>
    <row r="204" spans="1:5" x14ac:dyDescent="0.25">
      <c r="A204" s="9" t="s">
        <v>316</v>
      </c>
      <c r="B204" s="9">
        <v>3</v>
      </c>
      <c r="C204" s="9" t="s">
        <v>307</v>
      </c>
      <c r="D204" s="9" t="s">
        <v>310</v>
      </c>
      <c r="E204" s="9" t="s">
        <v>313</v>
      </c>
    </row>
    <row r="205" spans="1:5" x14ac:dyDescent="0.25">
      <c r="A205" s="9" t="s">
        <v>1165</v>
      </c>
      <c r="B205" s="9">
        <v>3</v>
      </c>
      <c r="C205" s="9" t="s">
        <v>307</v>
      </c>
      <c r="D205" s="9" t="s">
        <v>313</v>
      </c>
      <c r="E205" s="9" t="s">
        <v>310</v>
      </c>
    </row>
    <row r="206" spans="1:5" x14ac:dyDescent="0.25">
      <c r="A206" s="9" t="s">
        <v>1166</v>
      </c>
      <c r="B206" s="9">
        <v>3</v>
      </c>
      <c r="C206" s="9" t="s">
        <v>313</v>
      </c>
      <c r="D206" s="9" t="s">
        <v>310</v>
      </c>
      <c r="E206" s="9" t="s">
        <v>307</v>
      </c>
    </row>
    <row r="207" spans="1:5" x14ac:dyDescent="0.25">
      <c r="A207" s="9" t="s">
        <v>317</v>
      </c>
      <c r="B207" s="9">
        <v>1</v>
      </c>
      <c r="C207" s="9" t="s">
        <v>318</v>
      </c>
    </row>
    <row r="208" spans="1:5" x14ac:dyDescent="0.25">
      <c r="A208" s="9" t="s">
        <v>1167</v>
      </c>
      <c r="B208" s="9">
        <v>3</v>
      </c>
      <c r="C208" s="9" t="s">
        <v>310</v>
      </c>
      <c r="D208" s="9" t="s">
        <v>313</v>
      </c>
      <c r="E208" s="9" t="s">
        <v>307</v>
      </c>
    </row>
    <row r="209" spans="1:5" x14ac:dyDescent="0.25">
      <c r="A209" s="9" t="s">
        <v>1168</v>
      </c>
      <c r="B209" s="9">
        <v>3</v>
      </c>
      <c r="C209" s="9" t="s">
        <v>310</v>
      </c>
      <c r="D209" s="9" t="s">
        <v>313</v>
      </c>
      <c r="E209" s="9" t="s">
        <v>307</v>
      </c>
    </row>
    <row r="210" spans="1:5" x14ac:dyDescent="0.25">
      <c r="A210" s="9" t="s">
        <v>1169</v>
      </c>
      <c r="B210" s="9">
        <v>3</v>
      </c>
      <c r="C210" s="9" t="s">
        <v>310</v>
      </c>
      <c r="D210" s="9" t="s">
        <v>307</v>
      </c>
      <c r="E210" s="9" t="s">
        <v>313</v>
      </c>
    </row>
    <row r="211" spans="1:5" x14ac:dyDescent="0.25">
      <c r="A211" s="9" t="s">
        <v>1170</v>
      </c>
      <c r="B211" s="9">
        <v>1</v>
      </c>
      <c r="C211" s="9" t="s">
        <v>321</v>
      </c>
    </row>
    <row r="212" spans="1:5" x14ac:dyDescent="0.25">
      <c r="A212" s="9" t="s">
        <v>323</v>
      </c>
      <c r="B212" s="9">
        <v>1</v>
      </c>
      <c r="C212" s="9" t="s">
        <v>703</v>
      </c>
    </row>
    <row r="213" spans="1:5" x14ac:dyDescent="0.25">
      <c r="A213" s="9" t="s">
        <v>325</v>
      </c>
      <c r="B213" s="9">
        <v>1</v>
      </c>
      <c r="C213" s="9" t="s">
        <v>326</v>
      </c>
    </row>
    <row r="214" spans="1:5" x14ac:dyDescent="0.25">
      <c r="A214" s="9" t="s">
        <v>329</v>
      </c>
      <c r="B214" s="9">
        <v>1</v>
      </c>
      <c r="C214" s="9" t="s">
        <v>107</v>
      </c>
    </row>
    <row r="215" spans="1:5" x14ac:dyDescent="0.25">
      <c r="A215" s="9" t="s">
        <v>330</v>
      </c>
      <c r="B215" s="9">
        <v>1</v>
      </c>
      <c r="C215" s="9" t="s">
        <v>107</v>
      </c>
    </row>
    <row r="216" spans="1:5" x14ac:dyDescent="0.25">
      <c r="A216" s="9" t="s">
        <v>331</v>
      </c>
      <c r="B216" s="9">
        <v>1</v>
      </c>
      <c r="C216" s="9" t="s">
        <v>107</v>
      </c>
    </row>
    <row r="217" spans="1:5" x14ac:dyDescent="0.25">
      <c r="A217" s="9" t="s">
        <v>333</v>
      </c>
      <c r="B217" s="9">
        <v>1</v>
      </c>
      <c r="C217" s="9" t="s">
        <v>334</v>
      </c>
    </row>
    <row r="218" spans="1:5" x14ac:dyDescent="0.25">
      <c r="A218" s="9" t="s">
        <v>337</v>
      </c>
      <c r="B218" s="9">
        <v>1</v>
      </c>
      <c r="C218" s="9" t="s">
        <v>338</v>
      </c>
    </row>
    <row r="219" spans="1:5" x14ac:dyDescent="0.25">
      <c r="A219" s="9" t="s">
        <v>340</v>
      </c>
      <c r="B219" s="9">
        <v>1</v>
      </c>
      <c r="C219" s="9" t="s">
        <v>341</v>
      </c>
    </row>
    <row r="220" spans="1:5" x14ac:dyDescent="0.25">
      <c r="A220" s="9" t="s">
        <v>344</v>
      </c>
      <c r="B220" s="9">
        <v>1</v>
      </c>
      <c r="C220" s="9" t="s">
        <v>345</v>
      </c>
    </row>
    <row r="221" spans="1:5" x14ac:dyDescent="0.25">
      <c r="A221" s="9" t="s">
        <v>348</v>
      </c>
      <c r="B221" s="9">
        <v>1</v>
      </c>
      <c r="C221" s="9" t="s">
        <v>107</v>
      </c>
    </row>
    <row r="222" spans="1:5" x14ac:dyDescent="0.25">
      <c r="A222" s="9" t="s">
        <v>1171</v>
      </c>
      <c r="B222" s="9">
        <v>2</v>
      </c>
      <c r="C222" s="9" t="s">
        <v>80</v>
      </c>
      <c r="D222" s="9" t="s">
        <v>77</v>
      </c>
    </row>
    <row r="223" spans="1:5" x14ac:dyDescent="0.25">
      <c r="A223" s="9" t="s">
        <v>1172</v>
      </c>
      <c r="B223" s="9">
        <v>2</v>
      </c>
      <c r="C223" s="9" t="s">
        <v>80</v>
      </c>
      <c r="D223" s="9" t="s">
        <v>77</v>
      </c>
    </row>
    <row r="224" spans="1:5" x14ac:dyDescent="0.25">
      <c r="A224" s="9" t="s">
        <v>349</v>
      </c>
      <c r="B224" s="9">
        <v>1</v>
      </c>
      <c r="C224" s="9" t="s">
        <v>349</v>
      </c>
    </row>
    <row r="225" spans="1:5" x14ac:dyDescent="0.25">
      <c r="A225" s="9" t="s">
        <v>352</v>
      </c>
      <c r="B225" s="9">
        <v>2</v>
      </c>
      <c r="C225" s="9" t="s">
        <v>80</v>
      </c>
      <c r="D225" s="9" t="s">
        <v>77</v>
      </c>
    </row>
    <row r="226" spans="1:5" x14ac:dyDescent="0.25">
      <c r="A226" s="9" t="s">
        <v>353</v>
      </c>
      <c r="B226" s="9">
        <v>2</v>
      </c>
      <c r="C226" s="9" t="s">
        <v>80</v>
      </c>
      <c r="D226" s="9" t="s">
        <v>77</v>
      </c>
    </row>
    <row r="227" spans="1:5" x14ac:dyDescent="0.25">
      <c r="A227" s="9" t="s">
        <v>354</v>
      </c>
      <c r="B227" s="9">
        <v>1</v>
      </c>
      <c r="C227" s="9" t="s">
        <v>345</v>
      </c>
    </row>
    <row r="228" spans="1:5" x14ac:dyDescent="0.25">
      <c r="A228" s="9" t="s">
        <v>355</v>
      </c>
      <c r="B228" s="9">
        <v>1</v>
      </c>
      <c r="C228" s="9" t="s">
        <v>345</v>
      </c>
    </row>
    <row r="229" spans="1:5" x14ac:dyDescent="0.25">
      <c r="A229" s="9" t="s">
        <v>356</v>
      </c>
      <c r="B229" s="9">
        <v>1</v>
      </c>
      <c r="C229" s="9" t="s">
        <v>357</v>
      </c>
    </row>
    <row r="230" spans="1:5" x14ac:dyDescent="0.25">
      <c r="A230" s="9" t="s">
        <v>360</v>
      </c>
      <c r="B230" s="9">
        <v>1</v>
      </c>
      <c r="C230" s="9" t="s">
        <v>357</v>
      </c>
    </row>
    <row r="231" spans="1:5" x14ac:dyDescent="0.25">
      <c r="A231" s="9" t="s">
        <v>361</v>
      </c>
      <c r="B231" s="9">
        <v>3</v>
      </c>
      <c r="C231" s="9" t="s">
        <v>703</v>
      </c>
      <c r="D231" s="9" t="s">
        <v>365</v>
      </c>
      <c r="E231" s="9" t="s">
        <v>362</v>
      </c>
    </row>
    <row r="232" spans="1:5" x14ac:dyDescent="0.25">
      <c r="A232" s="9" t="s">
        <v>368</v>
      </c>
      <c r="B232" s="9">
        <v>1</v>
      </c>
      <c r="C232" s="9" t="s">
        <v>368</v>
      </c>
    </row>
    <row r="233" spans="1:5" x14ac:dyDescent="0.25">
      <c r="A233" s="9" t="s">
        <v>371</v>
      </c>
      <c r="B233" s="9">
        <v>3</v>
      </c>
      <c r="C233" s="9" t="s">
        <v>703</v>
      </c>
      <c r="D233" s="9" t="s">
        <v>365</v>
      </c>
      <c r="E233" s="9" t="s">
        <v>362</v>
      </c>
    </row>
    <row r="234" spans="1:5" x14ac:dyDescent="0.25">
      <c r="A234" s="9" t="s">
        <v>372</v>
      </c>
      <c r="B234" s="9">
        <v>1</v>
      </c>
      <c r="C234" s="9" t="s">
        <v>107</v>
      </c>
    </row>
    <row r="235" spans="1:5" x14ac:dyDescent="0.25">
      <c r="A235" s="9" t="s">
        <v>1173</v>
      </c>
      <c r="B235" s="9">
        <v>1</v>
      </c>
      <c r="C235" s="9" t="s">
        <v>1162</v>
      </c>
    </row>
    <row r="236" spans="1:5" x14ac:dyDescent="0.25">
      <c r="A236" s="9" t="s">
        <v>375</v>
      </c>
      <c r="B236" s="9">
        <v>1</v>
      </c>
      <c r="C236" s="9" t="s">
        <v>37</v>
      </c>
    </row>
    <row r="237" spans="1:5" x14ac:dyDescent="0.25">
      <c r="A237" s="9" t="s">
        <v>376</v>
      </c>
      <c r="B237" s="9">
        <v>1</v>
      </c>
      <c r="C237" s="9" t="s">
        <v>377</v>
      </c>
    </row>
    <row r="238" spans="1:5" x14ac:dyDescent="0.25">
      <c r="A238" s="9" t="s">
        <v>381</v>
      </c>
      <c r="B238" s="9">
        <v>1</v>
      </c>
      <c r="C238" s="9" t="s">
        <v>257</v>
      </c>
    </row>
    <row r="239" spans="1:5" x14ac:dyDescent="0.25">
      <c r="A239" s="9" t="s">
        <v>1174</v>
      </c>
      <c r="B239" s="9">
        <v>1</v>
      </c>
      <c r="C239" s="9" t="s">
        <v>321</v>
      </c>
    </row>
    <row r="240" spans="1:5" x14ac:dyDescent="0.25">
      <c r="A240" s="9" t="s">
        <v>382</v>
      </c>
      <c r="B240" s="9">
        <v>1</v>
      </c>
      <c r="C240" s="9" t="s">
        <v>383</v>
      </c>
    </row>
    <row r="241" spans="1:4" x14ac:dyDescent="0.25">
      <c r="A241" s="9" t="s">
        <v>386</v>
      </c>
      <c r="B241" s="9">
        <v>2</v>
      </c>
      <c r="C241" s="9" t="s">
        <v>77</v>
      </c>
      <c r="D241" s="9" t="s">
        <v>80</v>
      </c>
    </row>
    <row r="242" spans="1:4" x14ac:dyDescent="0.25">
      <c r="A242" s="9" t="s">
        <v>387</v>
      </c>
      <c r="B242" s="9">
        <v>1</v>
      </c>
      <c r="C242" s="9" t="s">
        <v>107</v>
      </c>
    </row>
    <row r="243" spans="1:4" x14ac:dyDescent="0.25">
      <c r="A243" s="9" t="s">
        <v>388</v>
      </c>
      <c r="B243" s="9">
        <v>1</v>
      </c>
      <c r="C243" s="9" t="s">
        <v>107</v>
      </c>
    </row>
    <row r="244" spans="1:4" x14ac:dyDescent="0.25">
      <c r="A244" s="9" t="s">
        <v>389</v>
      </c>
      <c r="B244" s="9">
        <v>1</v>
      </c>
      <c r="C244" s="9" t="s">
        <v>703</v>
      </c>
    </row>
    <row r="245" spans="1:4" x14ac:dyDescent="0.25">
      <c r="A245" s="9" t="s">
        <v>390</v>
      </c>
      <c r="B245" s="9">
        <v>1</v>
      </c>
      <c r="C245" s="9" t="s">
        <v>703</v>
      </c>
    </row>
    <row r="246" spans="1:4" x14ac:dyDescent="0.25">
      <c r="A246" s="9" t="s">
        <v>391</v>
      </c>
      <c r="B246" s="9">
        <v>1</v>
      </c>
      <c r="C246" s="9" t="s">
        <v>703</v>
      </c>
    </row>
    <row r="247" spans="1:4" x14ac:dyDescent="0.25">
      <c r="A247" s="9" t="s">
        <v>392</v>
      </c>
      <c r="B247" s="9">
        <v>1</v>
      </c>
      <c r="C247" s="9" t="s">
        <v>703</v>
      </c>
    </row>
    <row r="248" spans="1:4" x14ac:dyDescent="0.25">
      <c r="A248" s="9" t="s">
        <v>393</v>
      </c>
      <c r="B248" s="9">
        <v>2</v>
      </c>
      <c r="C248" s="9" t="s">
        <v>80</v>
      </c>
      <c r="D248" s="9" t="s">
        <v>77</v>
      </c>
    </row>
    <row r="249" spans="1:4" x14ac:dyDescent="0.25">
      <c r="A249" s="9" t="s">
        <v>394</v>
      </c>
      <c r="B249" s="9">
        <v>2</v>
      </c>
      <c r="C249" s="9" t="s">
        <v>77</v>
      </c>
      <c r="D249" s="9" t="s">
        <v>80</v>
      </c>
    </row>
    <row r="250" spans="1:4" x14ac:dyDescent="0.25">
      <c r="A250" s="9" t="s">
        <v>395</v>
      </c>
      <c r="B250" s="9">
        <v>1</v>
      </c>
      <c r="C250" s="9" t="s">
        <v>396</v>
      </c>
    </row>
    <row r="251" spans="1:4" x14ac:dyDescent="0.25">
      <c r="A251" s="9" t="s">
        <v>401</v>
      </c>
      <c r="B251" s="9">
        <v>1</v>
      </c>
      <c r="C251" s="9" t="s">
        <v>402</v>
      </c>
    </row>
    <row r="252" spans="1:4" x14ac:dyDescent="0.25">
      <c r="A252" s="9" t="s">
        <v>405</v>
      </c>
      <c r="B252" s="9">
        <v>2</v>
      </c>
      <c r="C252" s="9" t="s">
        <v>22</v>
      </c>
      <c r="D252" s="9" t="s">
        <v>1185</v>
      </c>
    </row>
    <row r="253" spans="1:4" x14ac:dyDescent="0.25">
      <c r="A253" s="9" t="s">
        <v>406</v>
      </c>
      <c r="B253" s="9">
        <v>1</v>
      </c>
      <c r="C253" s="9" t="s">
        <v>407</v>
      </c>
    </row>
    <row r="254" spans="1:4" x14ac:dyDescent="0.25">
      <c r="A254" s="9" t="s">
        <v>411</v>
      </c>
      <c r="B254" s="9">
        <v>2</v>
      </c>
      <c r="C254" s="9" t="s">
        <v>80</v>
      </c>
      <c r="D254" s="9" t="s">
        <v>77</v>
      </c>
    </row>
    <row r="255" spans="1:4" x14ac:dyDescent="0.25">
      <c r="A255" s="9" t="s">
        <v>412</v>
      </c>
      <c r="B255" s="9">
        <v>1</v>
      </c>
      <c r="C255" s="9" t="s">
        <v>413</v>
      </c>
    </row>
    <row r="256" spans="1:4" x14ac:dyDescent="0.25">
      <c r="A256" s="9" t="s">
        <v>416</v>
      </c>
      <c r="B256" s="9">
        <v>1</v>
      </c>
      <c r="C256" s="9" t="s">
        <v>19</v>
      </c>
    </row>
    <row r="257" spans="1:4" x14ac:dyDescent="0.25">
      <c r="A257" s="9" t="s">
        <v>417</v>
      </c>
      <c r="B257" s="9">
        <v>1</v>
      </c>
      <c r="C257" s="9" t="s">
        <v>338</v>
      </c>
    </row>
    <row r="258" spans="1:4" x14ac:dyDescent="0.25">
      <c r="A258" s="9" t="s">
        <v>418</v>
      </c>
      <c r="B258" s="9">
        <v>2</v>
      </c>
      <c r="C258" s="9" t="s">
        <v>338</v>
      </c>
      <c r="D258" s="9" t="s">
        <v>419</v>
      </c>
    </row>
    <row r="259" spans="1:4" x14ac:dyDescent="0.25">
      <c r="A259" s="9" t="s">
        <v>423</v>
      </c>
      <c r="B259" s="9">
        <v>1</v>
      </c>
      <c r="C259" s="9" t="s">
        <v>263</v>
      </c>
    </row>
    <row r="260" spans="1:4" x14ac:dyDescent="0.25">
      <c r="A260" s="9" t="s">
        <v>424</v>
      </c>
      <c r="B260" s="9">
        <v>1</v>
      </c>
      <c r="C260" s="9" t="s">
        <v>425</v>
      </c>
    </row>
    <row r="261" spans="1:4" x14ac:dyDescent="0.25">
      <c r="A261" s="9" t="s">
        <v>428</v>
      </c>
      <c r="B261" s="9">
        <v>1</v>
      </c>
      <c r="C261" s="9" t="s">
        <v>425</v>
      </c>
    </row>
    <row r="262" spans="1:4" x14ac:dyDescent="0.25">
      <c r="A262" s="9" t="s">
        <v>429</v>
      </c>
      <c r="B262" s="9">
        <v>1</v>
      </c>
      <c r="C262" s="9" t="s">
        <v>425</v>
      </c>
    </row>
    <row r="263" spans="1:4" x14ac:dyDescent="0.25">
      <c r="A263" s="9" t="s">
        <v>430</v>
      </c>
      <c r="B263" s="9">
        <v>1</v>
      </c>
      <c r="C263" s="9" t="s">
        <v>425</v>
      </c>
    </row>
    <row r="264" spans="1:4" x14ac:dyDescent="0.25">
      <c r="A264" s="9" t="s">
        <v>431</v>
      </c>
      <c r="B264" s="9">
        <v>1</v>
      </c>
      <c r="C264" s="9" t="s">
        <v>357</v>
      </c>
    </row>
    <row r="265" spans="1:4" x14ac:dyDescent="0.25">
      <c r="A265" s="9" t="s">
        <v>432</v>
      </c>
      <c r="B265" s="9">
        <v>1</v>
      </c>
      <c r="C265" s="9" t="s">
        <v>139</v>
      </c>
    </row>
    <row r="266" spans="1:4" x14ac:dyDescent="0.25">
      <c r="A266" s="9" t="s">
        <v>433</v>
      </c>
      <c r="B266" s="9">
        <v>2</v>
      </c>
      <c r="C266" s="9" t="s">
        <v>80</v>
      </c>
      <c r="D266" s="9" t="s">
        <v>77</v>
      </c>
    </row>
    <row r="267" spans="1:4" x14ac:dyDescent="0.25">
      <c r="A267" s="9" t="s">
        <v>434</v>
      </c>
      <c r="B267" s="9">
        <v>1</v>
      </c>
      <c r="C267" s="9" t="s">
        <v>435</v>
      </c>
    </row>
    <row r="268" spans="1:4" x14ac:dyDescent="0.25">
      <c r="A268" s="9" t="s">
        <v>438</v>
      </c>
      <c r="B268" s="9">
        <v>1</v>
      </c>
      <c r="C268" s="9" t="s">
        <v>439</v>
      </c>
    </row>
    <row r="269" spans="1:4" x14ac:dyDescent="0.25">
      <c r="A269" s="9" t="s">
        <v>442</v>
      </c>
      <c r="B269" s="9">
        <v>1</v>
      </c>
      <c r="C269" s="9" t="s">
        <v>57</v>
      </c>
    </row>
    <row r="270" spans="1:4" x14ac:dyDescent="0.25">
      <c r="A270" s="2" t="s">
        <v>443</v>
      </c>
      <c r="B270" s="9">
        <v>1</v>
      </c>
      <c r="C270" s="9" t="s">
        <v>444</v>
      </c>
    </row>
    <row r="271" spans="1:4" x14ac:dyDescent="0.25">
      <c r="A271" s="2" t="s">
        <v>447</v>
      </c>
      <c r="B271" s="9">
        <v>1</v>
      </c>
      <c r="C271" s="9" t="s">
        <v>435</v>
      </c>
    </row>
    <row r="272" spans="1:4" x14ac:dyDescent="0.25">
      <c r="A272" s="2" t="s">
        <v>449</v>
      </c>
      <c r="B272" s="9">
        <v>2</v>
      </c>
      <c r="C272" s="9" t="s">
        <v>452</v>
      </c>
      <c r="D272" s="9" t="s">
        <v>1021</v>
      </c>
    </row>
    <row r="273" spans="1:5" x14ac:dyDescent="0.25">
      <c r="A273" s="2" t="s">
        <v>455</v>
      </c>
      <c r="B273" s="9">
        <v>1</v>
      </c>
      <c r="C273" s="9" t="s">
        <v>274</v>
      </c>
    </row>
    <row r="274" spans="1:5" x14ac:dyDescent="0.25">
      <c r="A274" s="2" t="s">
        <v>456</v>
      </c>
      <c r="B274" s="9">
        <v>1</v>
      </c>
      <c r="C274" s="9" t="s">
        <v>253</v>
      </c>
    </row>
    <row r="275" spans="1:5" x14ac:dyDescent="0.25">
      <c r="A275" s="2" t="s">
        <v>457</v>
      </c>
      <c r="B275" s="9">
        <v>1</v>
      </c>
      <c r="C275" s="9" t="s">
        <v>458</v>
      </c>
    </row>
    <row r="276" spans="1:5" x14ac:dyDescent="0.25">
      <c r="A276" s="2" t="s">
        <v>461</v>
      </c>
      <c r="B276" s="9">
        <v>1</v>
      </c>
      <c r="C276" s="9" t="s">
        <v>458</v>
      </c>
    </row>
    <row r="277" spans="1:5" x14ac:dyDescent="0.25">
      <c r="A277" s="2" t="s">
        <v>462</v>
      </c>
      <c r="B277" s="9">
        <v>2</v>
      </c>
      <c r="C277" s="9" t="s">
        <v>80</v>
      </c>
      <c r="D277" s="9" t="s">
        <v>77</v>
      </c>
    </row>
    <row r="278" spans="1:5" x14ac:dyDescent="0.25">
      <c r="A278" s="2" t="s">
        <v>463</v>
      </c>
      <c r="B278" s="9">
        <v>1</v>
      </c>
      <c r="C278" s="9" t="s">
        <v>464</v>
      </c>
    </row>
    <row r="279" spans="1:5" x14ac:dyDescent="0.25">
      <c r="A279" s="2" t="s">
        <v>467</v>
      </c>
      <c r="B279" s="9">
        <v>1</v>
      </c>
      <c r="C279" s="9" t="s">
        <v>468</v>
      </c>
    </row>
    <row r="280" spans="1:5" x14ac:dyDescent="0.25">
      <c r="A280" s="2" t="s">
        <v>471</v>
      </c>
      <c r="B280" s="9">
        <v>1</v>
      </c>
      <c r="C280" s="9" t="s">
        <v>472</v>
      </c>
    </row>
    <row r="281" spans="1:5" x14ac:dyDescent="0.25">
      <c r="A281" s="2" t="s">
        <v>475</v>
      </c>
      <c r="B281" s="9">
        <v>1</v>
      </c>
      <c r="C281" s="9" t="s">
        <v>345</v>
      </c>
    </row>
    <row r="282" spans="1:5" x14ac:dyDescent="0.25">
      <c r="A282" s="2" t="s">
        <v>476</v>
      </c>
      <c r="B282" s="9">
        <v>1</v>
      </c>
      <c r="C282" s="9" t="s">
        <v>300</v>
      </c>
    </row>
    <row r="283" spans="1:5" x14ac:dyDescent="0.25">
      <c r="A283" s="2" t="s">
        <v>478</v>
      </c>
      <c r="B283" s="9">
        <v>1</v>
      </c>
      <c r="C283" s="9" t="s">
        <v>37</v>
      </c>
    </row>
    <row r="284" spans="1:5" x14ac:dyDescent="0.25">
      <c r="A284" s="2" t="s">
        <v>479</v>
      </c>
      <c r="B284" s="9">
        <v>2</v>
      </c>
      <c r="C284" s="9" t="s">
        <v>482</v>
      </c>
      <c r="D284" s="9" t="s">
        <v>480</v>
      </c>
    </row>
    <row r="285" spans="1:5" x14ac:dyDescent="0.25">
      <c r="A285" s="2" t="s">
        <v>482</v>
      </c>
      <c r="B285" s="9">
        <v>2</v>
      </c>
      <c r="C285" s="9" t="s">
        <v>480</v>
      </c>
      <c r="D285" s="9" t="s">
        <v>482</v>
      </c>
    </row>
    <row r="286" spans="1:5" x14ac:dyDescent="0.25">
      <c r="A286" s="2" t="s">
        <v>485</v>
      </c>
      <c r="B286" s="9">
        <v>2</v>
      </c>
      <c r="C286" s="9" t="s">
        <v>77</v>
      </c>
      <c r="D286" s="9" t="s">
        <v>80</v>
      </c>
    </row>
    <row r="287" spans="1:5" x14ac:dyDescent="0.25">
      <c r="A287" s="2" t="s">
        <v>486</v>
      </c>
      <c r="B287" s="9">
        <v>1</v>
      </c>
      <c r="C287" s="9" t="s">
        <v>19</v>
      </c>
    </row>
    <row r="288" spans="1:5" x14ac:dyDescent="0.25">
      <c r="A288" s="2" t="s">
        <v>487</v>
      </c>
      <c r="B288" s="9">
        <v>3</v>
      </c>
      <c r="C288" s="9" t="s">
        <v>703</v>
      </c>
      <c r="D288" s="9" t="s">
        <v>752</v>
      </c>
      <c r="E288" s="9" t="s">
        <v>1159</v>
      </c>
    </row>
    <row r="289" spans="1:5" x14ac:dyDescent="0.25">
      <c r="A289" s="2" t="s">
        <v>488</v>
      </c>
      <c r="B289" s="9">
        <v>1</v>
      </c>
      <c r="C289" s="9" t="s">
        <v>489</v>
      </c>
    </row>
    <row r="290" spans="1:5" x14ac:dyDescent="0.25">
      <c r="A290" s="2" t="s">
        <v>492</v>
      </c>
      <c r="B290" s="9">
        <v>1</v>
      </c>
      <c r="C290" s="9" t="s">
        <v>19</v>
      </c>
    </row>
    <row r="291" spans="1:5" x14ac:dyDescent="0.25">
      <c r="A291" s="2" t="s">
        <v>493</v>
      </c>
      <c r="B291" s="9">
        <v>1</v>
      </c>
      <c r="C291" s="9" t="s">
        <v>435</v>
      </c>
    </row>
    <row r="292" spans="1:5" x14ac:dyDescent="0.25">
      <c r="A292" s="2" t="s">
        <v>494</v>
      </c>
      <c r="B292" s="9">
        <v>2</v>
      </c>
      <c r="C292" s="9" t="s">
        <v>22</v>
      </c>
      <c r="D292" s="9" t="s">
        <v>1185</v>
      </c>
    </row>
    <row r="293" spans="1:5" x14ac:dyDescent="0.25">
      <c r="A293" s="2" t="s">
        <v>495</v>
      </c>
      <c r="B293" s="9">
        <v>2</v>
      </c>
      <c r="C293" s="9" t="s">
        <v>1185</v>
      </c>
      <c r="D293" s="9" t="s">
        <v>22</v>
      </c>
    </row>
    <row r="294" spans="1:5" x14ac:dyDescent="0.25">
      <c r="A294" s="2" t="s">
        <v>496</v>
      </c>
      <c r="B294" s="9">
        <v>3</v>
      </c>
      <c r="C294" s="9" t="s">
        <v>77</v>
      </c>
      <c r="D294" s="9" t="s">
        <v>80</v>
      </c>
      <c r="E294" s="9" t="s">
        <v>497</v>
      </c>
    </row>
    <row r="295" spans="1:5" x14ac:dyDescent="0.25">
      <c r="A295" s="2" t="s">
        <v>15</v>
      </c>
      <c r="B295" s="9">
        <v>2</v>
      </c>
      <c r="C295" s="9" t="s">
        <v>12</v>
      </c>
      <c r="D295" s="9" t="s">
        <v>15</v>
      </c>
    </row>
    <row r="296" spans="1:5" x14ac:dyDescent="0.25">
      <c r="A296" s="2" t="s">
        <v>500</v>
      </c>
      <c r="B296" s="9">
        <v>1</v>
      </c>
      <c r="C296" s="9" t="s">
        <v>703</v>
      </c>
    </row>
    <row r="297" spans="1:5" x14ac:dyDescent="0.25">
      <c r="A297" s="2" t="s">
        <v>501</v>
      </c>
      <c r="B297" s="9">
        <v>1</v>
      </c>
      <c r="C297" s="9" t="s">
        <v>703</v>
      </c>
    </row>
    <row r="298" spans="1:5" x14ac:dyDescent="0.25">
      <c r="A298" s="2" t="s">
        <v>502</v>
      </c>
      <c r="B298" s="9">
        <v>1</v>
      </c>
      <c r="C298" s="9" t="s">
        <v>703</v>
      </c>
    </row>
    <row r="299" spans="1:5" x14ac:dyDescent="0.25">
      <c r="A299" s="2" t="s">
        <v>503</v>
      </c>
      <c r="B299" s="9">
        <v>1</v>
      </c>
      <c r="C299" s="9" t="s">
        <v>703</v>
      </c>
    </row>
    <row r="300" spans="1:5" x14ac:dyDescent="0.25">
      <c r="A300" s="2" t="s">
        <v>1175</v>
      </c>
      <c r="B300" s="9">
        <v>1</v>
      </c>
      <c r="C300" s="9" t="s">
        <v>321</v>
      </c>
    </row>
    <row r="301" spans="1:5" x14ac:dyDescent="0.25">
      <c r="A301" s="2" t="s">
        <v>1176</v>
      </c>
      <c r="B301" s="9">
        <v>1</v>
      </c>
      <c r="C301" s="9" t="s">
        <v>321</v>
      </c>
    </row>
    <row r="302" spans="1:5" x14ac:dyDescent="0.25">
      <c r="A302" s="2" t="s">
        <v>321</v>
      </c>
      <c r="B302" s="9">
        <v>2</v>
      </c>
      <c r="C302" s="9" t="s">
        <v>321</v>
      </c>
      <c r="D302" s="9" t="s">
        <v>504</v>
      </c>
    </row>
    <row r="303" spans="1:5" x14ac:dyDescent="0.25">
      <c r="A303" s="2" t="s">
        <v>509</v>
      </c>
      <c r="B303" s="9">
        <v>1</v>
      </c>
      <c r="C303" s="9" t="s">
        <v>510</v>
      </c>
    </row>
    <row r="304" spans="1:5" x14ac:dyDescent="0.25">
      <c r="A304" s="2" t="s">
        <v>513</v>
      </c>
      <c r="B304" s="9">
        <v>1</v>
      </c>
      <c r="C304" s="9" t="s">
        <v>318</v>
      </c>
    </row>
    <row r="305" spans="1:5" x14ac:dyDescent="0.25">
      <c r="A305" s="2" t="s">
        <v>514</v>
      </c>
      <c r="B305" s="9">
        <v>3</v>
      </c>
      <c r="C305" s="9" t="s">
        <v>515</v>
      </c>
      <c r="D305" s="9" t="s">
        <v>239</v>
      </c>
      <c r="E305" s="9" t="s">
        <v>518</v>
      </c>
    </row>
    <row r="306" spans="1:5" x14ac:dyDescent="0.25">
      <c r="A306" s="2" t="s">
        <v>521</v>
      </c>
      <c r="B306" s="9">
        <v>1</v>
      </c>
      <c r="C306" s="9" t="s">
        <v>292</v>
      </c>
    </row>
    <row r="307" spans="1:5" x14ac:dyDescent="0.25">
      <c r="A307" s="2" t="s">
        <v>522</v>
      </c>
      <c r="B307" s="9">
        <v>1</v>
      </c>
      <c r="C307" s="9" t="s">
        <v>523</v>
      </c>
    </row>
    <row r="308" spans="1:5" x14ac:dyDescent="0.25">
      <c r="A308" s="2" t="s">
        <v>526</v>
      </c>
      <c r="B308" s="9">
        <v>2</v>
      </c>
      <c r="C308" s="9" t="s">
        <v>80</v>
      </c>
      <c r="D308" s="9" t="s">
        <v>77</v>
      </c>
    </row>
    <row r="309" spans="1:5" x14ac:dyDescent="0.25">
      <c r="A309" s="2" t="s">
        <v>527</v>
      </c>
      <c r="B309" s="9">
        <v>1</v>
      </c>
      <c r="C309" s="9" t="s">
        <v>523</v>
      </c>
    </row>
    <row r="310" spans="1:5" x14ac:dyDescent="0.25">
      <c r="A310" s="2" t="s">
        <v>528</v>
      </c>
      <c r="B310" s="9">
        <v>1</v>
      </c>
      <c r="C310" s="9" t="s">
        <v>523</v>
      </c>
    </row>
    <row r="311" spans="1:5" x14ac:dyDescent="0.25">
      <c r="A311" s="2" t="s">
        <v>523</v>
      </c>
      <c r="B311" s="9">
        <v>1</v>
      </c>
      <c r="C311" s="9" t="s">
        <v>523</v>
      </c>
    </row>
    <row r="312" spans="1:5" x14ac:dyDescent="0.25">
      <c r="A312" s="2" t="s">
        <v>1177</v>
      </c>
      <c r="B312" s="9">
        <v>1</v>
      </c>
      <c r="C312" s="9" t="s">
        <v>146</v>
      </c>
    </row>
    <row r="313" spans="1:5" x14ac:dyDescent="0.25">
      <c r="A313" s="2" t="s">
        <v>1178</v>
      </c>
      <c r="B313" s="9">
        <v>1</v>
      </c>
      <c r="C313" s="9" t="s">
        <v>146</v>
      </c>
    </row>
    <row r="314" spans="1:5" x14ac:dyDescent="0.25">
      <c r="A314" s="2" t="s">
        <v>530</v>
      </c>
      <c r="B314" s="9">
        <v>1</v>
      </c>
      <c r="C314" s="9" t="s">
        <v>531</v>
      </c>
    </row>
    <row r="315" spans="1:5" x14ac:dyDescent="0.25">
      <c r="A315" s="2" t="s">
        <v>1179</v>
      </c>
      <c r="B315" s="9">
        <v>1</v>
      </c>
      <c r="C315" s="9" t="s">
        <v>321</v>
      </c>
    </row>
    <row r="316" spans="1:5" x14ac:dyDescent="0.25">
      <c r="A316" s="2" t="s">
        <v>534</v>
      </c>
      <c r="B316" s="9">
        <v>1</v>
      </c>
      <c r="C316" s="9" t="s">
        <v>257</v>
      </c>
    </row>
    <row r="317" spans="1:5" x14ac:dyDescent="0.25">
      <c r="A317" s="2" t="s">
        <v>535</v>
      </c>
      <c r="B317" s="9">
        <v>1</v>
      </c>
      <c r="C317" s="9" t="s">
        <v>536</v>
      </c>
    </row>
    <row r="318" spans="1:5" x14ac:dyDescent="0.25">
      <c r="A318" s="2" t="s">
        <v>539</v>
      </c>
      <c r="B318" s="9">
        <v>1</v>
      </c>
      <c r="C318" s="9" t="s">
        <v>536</v>
      </c>
    </row>
    <row r="319" spans="1:5" x14ac:dyDescent="0.25">
      <c r="A319" s="2" t="s">
        <v>540</v>
      </c>
      <c r="B319" s="9">
        <v>1</v>
      </c>
      <c r="C319" s="9" t="s">
        <v>257</v>
      </c>
    </row>
    <row r="320" spans="1:5" x14ac:dyDescent="0.25">
      <c r="A320" s="2" t="s">
        <v>541</v>
      </c>
      <c r="B320" s="9">
        <v>1</v>
      </c>
      <c r="C320" s="9" t="s">
        <v>257</v>
      </c>
    </row>
    <row r="321" spans="1:4" x14ac:dyDescent="0.25">
      <c r="A321" s="2" t="s">
        <v>542</v>
      </c>
      <c r="B321" s="9">
        <v>1</v>
      </c>
      <c r="C321" s="9" t="s">
        <v>357</v>
      </c>
    </row>
    <row r="322" spans="1:4" x14ac:dyDescent="0.25">
      <c r="A322" s="2" t="s">
        <v>545</v>
      </c>
      <c r="B322" s="9">
        <v>1</v>
      </c>
      <c r="C322" s="9" t="s">
        <v>703</v>
      </c>
    </row>
    <row r="323" spans="1:4" x14ac:dyDescent="0.25">
      <c r="A323" s="2" t="s">
        <v>546</v>
      </c>
      <c r="B323" s="9">
        <v>2</v>
      </c>
      <c r="C323" s="9" t="s">
        <v>550</v>
      </c>
      <c r="D323" s="9" t="s">
        <v>547</v>
      </c>
    </row>
    <row r="324" spans="1:4" x14ac:dyDescent="0.25">
      <c r="A324" s="2" t="s">
        <v>552</v>
      </c>
      <c r="B324" s="9">
        <v>1</v>
      </c>
      <c r="C324" s="9" t="s">
        <v>553</v>
      </c>
    </row>
    <row r="325" spans="1:4" x14ac:dyDescent="0.25">
      <c r="A325" s="2" t="s">
        <v>556</v>
      </c>
      <c r="B325" s="9">
        <v>1</v>
      </c>
      <c r="C325" s="9" t="s">
        <v>497</v>
      </c>
    </row>
    <row r="326" spans="1:4" x14ac:dyDescent="0.25">
      <c r="A326" s="2" t="s">
        <v>557</v>
      </c>
      <c r="B326" s="9">
        <v>1</v>
      </c>
      <c r="C326" s="9" t="s">
        <v>497</v>
      </c>
    </row>
    <row r="327" spans="1:4" x14ac:dyDescent="0.25">
      <c r="A327" s="2" t="s">
        <v>558</v>
      </c>
      <c r="B327" s="9">
        <v>2</v>
      </c>
      <c r="C327" s="9" t="s">
        <v>37</v>
      </c>
      <c r="D327" s="9" t="s">
        <v>413</v>
      </c>
    </row>
    <row r="328" spans="1:4" x14ac:dyDescent="0.25">
      <c r="A328" s="2" t="s">
        <v>559</v>
      </c>
      <c r="B328" s="9">
        <v>1</v>
      </c>
      <c r="C328" s="9" t="s">
        <v>413</v>
      </c>
    </row>
    <row r="329" spans="1:4" x14ac:dyDescent="0.25">
      <c r="A329" s="2" t="s">
        <v>560</v>
      </c>
      <c r="B329" s="9">
        <v>2</v>
      </c>
      <c r="C329" s="9" t="s">
        <v>37</v>
      </c>
      <c r="D329" s="9" t="s">
        <v>413</v>
      </c>
    </row>
    <row r="330" spans="1:4" x14ac:dyDescent="0.25">
      <c r="A330" s="2" t="s">
        <v>561</v>
      </c>
      <c r="B330" s="9">
        <v>1</v>
      </c>
      <c r="C330" s="9" t="s">
        <v>413</v>
      </c>
    </row>
    <row r="331" spans="1:4" x14ac:dyDescent="0.25">
      <c r="A331" s="2" t="s">
        <v>562</v>
      </c>
      <c r="B331" s="9">
        <v>1</v>
      </c>
      <c r="C331" s="9" t="s">
        <v>146</v>
      </c>
    </row>
    <row r="332" spans="1:4" x14ac:dyDescent="0.25">
      <c r="A332" s="2" t="s">
        <v>563</v>
      </c>
      <c r="B332" s="9">
        <v>1</v>
      </c>
      <c r="C332" s="9" t="s">
        <v>413</v>
      </c>
    </row>
    <row r="333" spans="1:4" x14ac:dyDescent="0.25">
      <c r="A333" s="2" t="s">
        <v>564</v>
      </c>
      <c r="B333" s="9">
        <v>2</v>
      </c>
      <c r="C333" s="9" t="s">
        <v>564</v>
      </c>
      <c r="D333" s="9" t="s">
        <v>567</v>
      </c>
    </row>
    <row r="334" spans="1:4" x14ac:dyDescent="0.25">
      <c r="A334" s="2" t="s">
        <v>570</v>
      </c>
      <c r="B334" s="9">
        <v>2</v>
      </c>
      <c r="C334" s="9" t="s">
        <v>338</v>
      </c>
      <c r="D334" s="9" t="s">
        <v>571</v>
      </c>
    </row>
    <row r="335" spans="1:4" x14ac:dyDescent="0.25">
      <c r="A335" s="2" t="s">
        <v>575</v>
      </c>
      <c r="B335" s="9">
        <v>1</v>
      </c>
      <c r="C335" s="9" t="s">
        <v>435</v>
      </c>
    </row>
    <row r="336" spans="1:4" x14ac:dyDescent="0.25">
      <c r="A336" s="2" t="s">
        <v>576</v>
      </c>
      <c r="B336" s="9">
        <v>1</v>
      </c>
      <c r="C336" s="9" t="s">
        <v>184</v>
      </c>
    </row>
    <row r="337" spans="1:4" x14ac:dyDescent="0.25">
      <c r="A337" s="2" t="s">
        <v>577</v>
      </c>
      <c r="B337" s="9">
        <v>1</v>
      </c>
      <c r="C337" s="9" t="s">
        <v>578</v>
      </c>
    </row>
    <row r="338" spans="1:4" x14ac:dyDescent="0.25">
      <c r="A338" s="2" t="s">
        <v>581</v>
      </c>
      <c r="B338" s="9">
        <v>2</v>
      </c>
      <c r="C338" s="9" t="s">
        <v>413</v>
      </c>
      <c r="D338" s="9" t="s">
        <v>458</v>
      </c>
    </row>
    <row r="339" spans="1:4" x14ac:dyDescent="0.25">
      <c r="A339" s="2" t="s">
        <v>582</v>
      </c>
      <c r="B339" s="9">
        <v>1</v>
      </c>
      <c r="C339" s="9" t="s">
        <v>458</v>
      </c>
    </row>
    <row r="340" spans="1:4" x14ac:dyDescent="0.25">
      <c r="A340" s="2" t="s">
        <v>585</v>
      </c>
      <c r="B340" s="9">
        <v>1</v>
      </c>
      <c r="C340" s="9" t="s">
        <v>300</v>
      </c>
    </row>
    <row r="341" spans="1:4" x14ac:dyDescent="0.25">
      <c r="A341" s="2" t="s">
        <v>586</v>
      </c>
      <c r="B341" s="9">
        <v>1</v>
      </c>
      <c r="C341" s="9" t="s">
        <v>703</v>
      </c>
    </row>
    <row r="342" spans="1:4" x14ac:dyDescent="0.25">
      <c r="A342" s="2" t="s">
        <v>587</v>
      </c>
      <c r="B342" s="9">
        <v>1</v>
      </c>
      <c r="C342" s="9" t="s">
        <v>703</v>
      </c>
    </row>
    <row r="343" spans="1:4" x14ac:dyDescent="0.25">
      <c r="A343" s="2" t="s">
        <v>588</v>
      </c>
      <c r="B343" s="9">
        <v>1</v>
      </c>
      <c r="C343" s="9" t="s">
        <v>19</v>
      </c>
    </row>
    <row r="344" spans="1:4" x14ac:dyDescent="0.25">
      <c r="A344" s="2" t="s">
        <v>589</v>
      </c>
      <c r="B344" s="9">
        <v>1</v>
      </c>
      <c r="C344" s="9" t="s">
        <v>590</v>
      </c>
    </row>
    <row r="345" spans="1:4" x14ac:dyDescent="0.25">
      <c r="A345" s="2" t="s">
        <v>590</v>
      </c>
      <c r="B345" s="9">
        <v>1</v>
      </c>
      <c r="C345" s="9" t="s">
        <v>590</v>
      </c>
    </row>
    <row r="346" spans="1:4" x14ac:dyDescent="0.25">
      <c r="A346" s="2" t="s">
        <v>593</v>
      </c>
      <c r="B346" s="9">
        <v>1</v>
      </c>
      <c r="C346" s="9" t="s">
        <v>590</v>
      </c>
    </row>
    <row r="347" spans="1:4" x14ac:dyDescent="0.25">
      <c r="A347" s="2" t="s">
        <v>594</v>
      </c>
      <c r="B347" s="9">
        <v>2</v>
      </c>
      <c r="C347" s="9" t="s">
        <v>595</v>
      </c>
      <c r="D347" s="9" t="s">
        <v>598</v>
      </c>
    </row>
    <row r="348" spans="1:4" x14ac:dyDescent="0.25">
      <c r="A348" s="2" t="s">
        <v>601</v>
      </c>
      <c r="B348" s="9">
        <v>1</v>
      </c>
      <c r="C348" s="9" t="s">
        <v>181</v>
      </c>
    </row>
    <row r="349" spans="1:4" x14ac:dyDescent="0.25">
      <c r="A349" s="2" t="s">
        <v>602</v>
      </c>
      <c r="B349" s="9">
        <v>1</v>
      </c>
      <c r="C349" s="9" t="s">
        <v>263</v>
      </c>
    </row>
    <row r="350" spans="1:4" x14ac:dyDescent="0.25">
      <c r="A350" s="2" t="s">
        <v>603</v>
      </c>
      <c r="B350" s="9">
        <v>1</v>
      </c>
      <c r="C350" s="9" t="s">
        <v>489</v>
      </c>
    </row>
    <row r="351" spans="1:4" x14ac:dyDescent="0.25">
      <c r="A351" s="2" t="s">
        <v>604</v>
      </c>
      <c r="B351" s="9">
        <v>1</v>
      </c>
      <c r="C351" s="9" t="s">
        <v>338</v>
      </c>
    </row>
    <row r="352" spans="1:4" x14ac:dyDescent="0.25">
      <c r="A352" s="2" t="s">
        <v>605</v>
      </c>
      <c r="B352" s="9">
        <v>1</v>
      </c>
      <c r="C352" s="9" t="s">
        <v>553</v>
      </c>
    </row>
    <row r="353" spans="1:5" x14ac:dyDescent="0.25">
      <c r="A353" s="2" t="s">
        <v>606</v>
      </c>
      <c r="B353" s="9">
        <v>1</v>
      </c>
      <c r="C353" s="9" t="s">
        <v>263</v>
      </c>
    </row>
    <row r="354" spans="1:5" x14ac:dyDescent="0.25">
      <c r="A354" s="2" t="s">
        <v>607</v>
      </c>
      <c r="B354" s="9">
        <v>3</v>
      </c>
      <c r="C354" s="9" t="s">
        <v>614</v>
      </c>
      <c r="D354" s="9" t="s">
        <v>608</v>
      </c>
      <c r="E354" s="9" t="s">
        <v>611</v>
      </c>
    </row>
    <row r="355" spans="1:5" x14ac:dyDescent="0.25">
      <c r="A355" s="2" t="s">
        <v>617</v>
      </c>
      <c r="B355" s="9">
        <v>1</v>
      </c>
      <c r="C355" s="9" t="s">
        <v>611</v>
      </c>
    </row>
    <row r="356" spans="1:5" x14ac:dyDescent="0.25">
      <c r="A356" s="2" t="s">
        <v>618</v>
      </c>
      <c r="B356" s="9">
        <v>1</v>
      </c>
      <c r="C356" s="9" t="s">
        <v>608</v>
      </c>
    </row>
    <row r="357" spans="1:5" x14ac:dyDescent="0.25">
      <c r="A357" s="2" t="s">
        <v>619</v>
      </c>
      <c r="B357" s="9">
        <v>1</v>
      </c>
      <c r="C357" s="9" t="s">
        <v>608</v>
      </c>
    </row>
    <row r="358" spans="1:5" x14ac:dyDescent="0.25">
      <c r="A358" s="2" t="s">
        <v>620</v>
      </c>
      <c r="B358" s="9">
        <v>1</v>
      </c>
      <c r="C358" s="9" t="s">
        <v>611</v>
      </c>
    </row>
    <row r="359" spans="1:5" x14ac:dyDescent="0.25">
      <c r="A359" s="2" t="s">
        <v>621</v>
      </c>
      <c r="B359" s="9">
        <v>2</v>
      </c>
      <c r="C359" s="9" t="s">
        <v>614</v>
      </c>
      <c r="D359" s="9" t="s">
        <v>611</v>
      </c>
    </row>
    <row r="360" spans="1:5" x14ac:dyDescent="0.25">
      <c r="A360" s="2" t="s">
        <v>622</v>
      </c>
      <c r="B360" s="9">
        <v>1</v>
      </c>
      <c r="C360" s="9" t="s">
        <v>614</v>
      </c>
    </row>
    <row r="361" spans="1:5" x14ac:dyDescent="0.25">
      <c r="A361" s="2" t="s">
        <v>623</v>
      </c>
      <c r="B361" s="9">
        <v>1</v>
      </c>
      <c r="C361" s="9" t="s">
        <v>624</v>
      </c>
    </row>
    <row r="362" spans="1:5" x14ac:dyDescent="0.25">
      <c r="A362" s="2" t="s">
        <v>627</v>
      </c>
      <c r="B362" s="9">
        <v>1</v>
      </c>
      <c r="C362" s="9" t="s">
        <v>624</v>
      </c>
    </row>
    <row r="363" spans="1:5" x14ac:dyDescent="0.25">
      <c r="A363" s="2" t="s">
        <v>628</v>
      </c>
      <c r="B363" s="9">
        <v>1</v>
      </c>
      <c r="C363" s="9" t="s">
        <v>624</v>
      </c>
    </row>
    <row r="364" spans="1:5" x14ac:dyDescent="0.25">
      <c r="A364" s="2" t="s">
        <v>629</v>
      </c>
      <c r="B364" s="9">
        <v>3</v>
      </c>
      <c r="C364" s="9" t="s">
        <v>1159</v>
      </c>
      <c r="D364" s="9" t="s">
        <v>630</v>
      </c>
      <c r="E364" s="9" t="s">
        <v>752</v>
      </c>
    </row>
    <row r="365" spans="1:5" x14ac:dyDescent="0.25">
      <c r="A365" s="2" t="s">
        <v>632</v>
      </c>
      <c r="B365" s="9">
        <v>1</v>
      </c>
      <c r="C365" s="9" t="s">
        <v>633</v>
      </c>
    </row>
    <row r="366" spans="1:5" x14ac:dyDescent="0.25">
      <c r="A366" s="2" t="s">
        <v>636</v>
      </c>
      <c r="B366" s="9">
        <v>1</v>
      </c>
      <c r="C366" s="9" t="s">
        <v>458</v>
      </c>
    </row>
    <row r="367" spans="1:5" x14ac:dyDescent="0.25">
      <c r="A367" s="2" t="s">
        <v>637</v>
      </c>
      <c r="B367" s="9">
        <v>3</v>
      </c>
      <c r="C367" s="9" t="s">
        <v>46</v>
      </c>
      <c r="D367" s="9" t="s">
        <v>43</v>
      </c>
      <c r="E367" s="9" t="s">
        <v>40</v>
      </c>
    </row>
    <row r="368" spans="1:5" x14ac:dyDescent="0.25">
      <c r="A368" s="2" t="s">
        <v>638</v>
      </c>
      <c r="B368" s="9">
        <v>3</v>
      </c>
      <c r="C368" s="9" t="s">
        <v>40</v>
      </c>
      <c r="D368" s="9" t="s">
        <v>46</v>
      </c>
      <c r="E368" s="9" t="s">
        <v>43</v>
      </c>
    </row>
    <row r="369" spans="1:5" x14ac:dyDescent="0.25">
      <c r="A369" s="2" t="s">
        <v>639</v>
      </c>
      <c r="B369" s="9">
        <v>1</v>
      </c>
      <c r="C369" s="9" t="s">
        <v>640</v>
      </c>
    </row>
    <row r="370" spans="1:5" x14ac:dyDescent="0.25">
      <c r="A370" s="2" t="s">
        <v>643</v>
      </c>
      <c r="B370" s="9">
        <v>3</v>
      </c>
      <c r="C370" s="9" t="s">
        <v>644</v>
      </c>
      <c r="D370" s="9" t="s">
        <v>647</v>
      </c>
      <c r="E370" s="9" t="s">
        <v>650</v>
      </c>
    </row>
    <row r="371" spans="1:5" x14ac:dyDescent="0.25">
      <c r="A371" s="2" t="s">
        <v>653</v>
      </c>
      <c r="B371" s="9">
        <v>1</v>
      </c>
      <c r="C371" s="9" t="s">
        <v>654</v>
      </c>
    </row>
    <row r="372" spans="1:5" x14ac:dyDescent="0.25">
      <c r="A372" s="2" t="s">
        <v>657</v>
      </c>
      <c r="B372" s="9">
        <v>1</v>
      </c>
      <c r="C372" s="9" t="s">
        <v>654</v>
      </c>
    </row>
    <row r="373" spans="1:5" x14ac:dyDescent="0.25">
      <c r="A373" s="2" t="s">
        <v>658</v>
      </c>
      <c r="B373" s="9">
        <v>2</v>
      </c>
      <c r="C373" s="9" t="s">
        <v>659</v>
      </c>
      <c r="D373" s="9" t="s">
        <v>662</v>
      </c>
    </row>
    <row r="374" spans="1:5" x14ac:dyDescent="0.25">
      <c r="A374" s="2" t="s">
        <v>665</v>
      </c>
      <c r="B374" s="9">
        <v>2</v>
      </c>
      <c r="C374" s="9" t="s">
        <v>77</v>
      </c>
      <c r="D374" s="9" t="s">
        <v>80</v>
      </c>
    </row>
    <row r="375" spans="1:5" x14ac:dyDescent="0.25">
      <c r="A375" s="2" t="s">
        <v>666</v>
      </c>
      <c r="B375" s="9">
        <v>1</v>
      </c>
      <c r="C375" s="9" t="s">
        <v>19</v>
      </c>
    </row>
    <row r="376" spans="1:5" x14ac:dyDescent="0.25">
      <c r="A376" s="2" t="s">
        <v>668</v>
      </c>
      <c r="B376" s="9">
        <v>1</v>
      </c>
      <c r="C376" s="9" t="s">
        <v>19</v>
      </c>
    </row>
    <row r="377" spans="1:5" x14ac:dyDescent="0.25">
      <c r="A377" s="2" t="s">
        <v>669</v>
      </c>
      <c r="B377" s="9">
        <v>3</v>
      </c>
      <c r="C377" s="9" t="s">
        <v>703</v>
      </c>
      <c r="D377" s="9" t="s">
        <v>365</v>
      </c>
      <c r="E377" s="9" t="s">
        <v>362</v>
      </c>
    </row>
    <row r="378" spans="1:5" x14ac:dyDescent="0.25">
      <c r="A378" s="2" t="s">
        <v>670</v>
      </c>
      <c r="B378" s="9">
        <v>2</v>
      </c>
      <c r="C378" s="9" t="s">
        <v>112</v>
      </c>
      <c r="D378" s="9" t="s">
        <v>115</v>
      </c>
    </row>
    <row r="379" spans="1:5" x14ac:dyDescent="0.25">
      <c r="A379" s="2" t="s">
        <v>671</v>
      </c>
      <c r="B379" s="9">
        <v>2</v>
      </c>
      <c r="C379" s="9" t="s">
        <v>112</v>
      </c>
      <c r="D379" s="9" t="s">
        <v>115</v>
      </c>
    </row>
    <row r="380" spans="1:5" x14ac:dyDescent="0.25">
      <c r="A380" s="2" t="s">
        <v>672</v>
      </c>
      <c r="B380" s="9">
        <v>1</v>
      </c>
      <c r="C380" s="9" t="s">
        <v>673</v>
      </c>
    </row>
    <row r="381" spans="1:5" x14ac:dyDescent="0.25">
      <c r="A381" s="2" t="s">
        <v>676</v>
      </c>
      <c r="B381" s="9">
        <v>1</v>
      </c>
      <c r="C381" s="9" t="s">
        <v>468</v>
      </c>
    </row>
    <row r="382" spans="1:5" x14ac:dyDescent="0.25">
      <c r="A382" s="2" t="s">
        <v>677</v>
      </c>
      <c r="B382" s="9">
        <v>1</v>
      </c>
      <c r="C382" s="9" t="s">
        <v>468</v>
      </c>
    </row>
    <row r="383" spans="1:5" x14ac:dyDescent="0.25">
      <c r="A383" s="2" t="s">
        <v>678</v>
      </c>
      <c r="B383" s="9">
        <v>2</v>
      </c>
      <c r="C383" s="9" t="s">
        <v>77</v>
      </c>
      <c r="D383" s="9" t="s">
        <v>80</v>
      </c>
    </row>
    <row r="384" spans="1:5" x14ac:dyDescent="0.25">
      <c r="A384" s="2" t="s">
        <v>680</v>
      </c>
      <c r="B384" s="9">
        <v>1</v>
      </c>
      <c r="C384" s="9" t="s">
        <v>681</v>
      </c>
    </row>
    <row r="385" spans="1:6" x14ac:dyDescent="0.25">
      <c r="A385" s="2" t="s">
        <v>684</v>
      </c>
      <c r="B385" s="9">
        <v>1</v>
      </c>
      <c r="C385" s="9" t="s">
        <v>681</v>
      </c>
    </row>
    <row r="386" spans="1:6" x14ac:dyDescent="0.25">
      <c r="A386" s="2" t="s">
        <v>685</v>
      </c>
      <c r="B386" s="9">
        <v>1</v>
      </c>
      <c r="C386" s="9" t="s">
        <v>292</v>
      </c>
    </row>
    <row r="387" spans="1:6" x14ac:dyDescent="0.25">
      <c r="A387" s="2" t="s">
        <v>686</v>
      </c>
      <c r="B387" s="9">
        <v>1</v>
      </c>
      <c r="C387" s="9" t="s">
        <v>292</v>
      </c>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KeyWordCount">
                <anchor moveWithCells="1" sizeWithCells="1">
                  <from>
                    <xdr:col>6</xdr:col>
                    <xdr:colOff>323850</xdr:colOff>
                    <xdr:row>1</xdr:row>
                    <xdr:rowOff>114300</xdr:rowOff>
                  </from>
                  <to>
                    <xdr:col>9</xdr:col>
                    <xdr:colOff>114300</xdr:colOff>
                    <xdr:row>3</xdr:row>
                    <xdr:rowOff>85725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A75EA-F214-4A96-B44A-AF440C29EF4C}">
  <sheetPr codeName="Sheet7"/>
  <dimension ref="A1:X179"/>
  <sheetViews>
    <sheetView topLeftCell="A23" zoomScale="70" zoomScaleNormal="70" workbookViewId="0">
      <selection activeCell="D34" sqref="D34"/>
    </sheetView>
  </sheetViews>
  <sheetFormatPr defaultRowHeight="15.75" outlineLevelCol="1" x14ac:dyDescent="0.25"/>
  <cols>
    <col min="1" max="1" width="7" style="4" customWidth="1" collapsed="1"/>
    <col min="2" max="3" width="10.77734375" style="4" customWidth="1"/>
    <col min="4" max="6" width="23.5546875" style="4" customWidth="1"/>
    <col min="7" max="7" width="10.77734375" style="4" customWidth="1"/>
    <col min="8" max="8" width="6.6640625" style="4" customWidth="1"/>
    <col min="9" max="9" width="10.77734375" customWidth="1"/>
    <col min="10" max="14" width="10.77734375" customWidth="1" outlineLevel="1"/>
    <col min="15" max="15" width="20.77734375" customWidth="1" outlineLevel="1"/>
    <col min="16" max="16" width="8.44140625" customWidth="1" outlineLevel="1"/>
    <col min="17" max="17" width="11.33203125" customWidth="1" outlineLevel="1"/>
    <col min="18" max="18" width="40.5546875" customWidth="1" outlineLevel="1"/>
    <col min="19" max="21" width="18.6640625" customWidth="1" outlineLevel="1"/>
    <col min="22" max="23" width="11.44140625" customWidth="1" outlineLevel="1"/>
    <col min="24" max="24" width="220.33203125" style="1" customWidth="1"/>
  </cols>
  <sheetData>
    <row r="1" spans="1:24" x14ac:dyDescent="0.25">
      <c r="A1" s="10" t="s">
        <v>1097</v>
      </c>
      <c r="B1" s="11"/>
      <c r="C1" s="11"/>
      <c r="D1" s="11"/>
      <c r="E1" s="11"/>
      <c r="F1" s="11"/>
      <c r="G1" s="11"/>
      <c r="H1" s="11"/>
      <c r="I1" s="7" t="s">
        <v>1098</v>
      </c>
      <c r="J1" s="5"/>
      <c r="K1" s="5"/>
      <c r="L1" s="5"/>
      <c r="M1" s="5"/>
      <c r="N1" s="5"/>
      <c r="O1" s="5"/>
      <c r="P1" s="7" t="s">
        <v>1099</v>
      </c>
      <c r="Q1" s="5"/>
      <c r="R1" s="5"/>
      <c r="S1" s="5"/>
      <c r="T1" s="5"/>
      <c r="U1" s="5"/>
      <c r="V1" s="5"/>
      <c r="W1" s="5"/>
      <c r="X1" s="12"/>
    </row>
    <row r="2" spans="1:24" x14ac:dyDescent="0.25">
      <c r="A2" s="13" t="s">
        <v>974</v>
      </c>
      <c r="B2" s="13"/>
      <c r="C2" s="13"/>
      <c r="D2" s="13"/>
      <c r="E2" s="13"/>
      <c r="F2" s="13"/>
      <c r="G2" s="13"/>
      <c r="H2" s="13"/>
      <c r="I2" s="14" t="s">
        <v>975</v>
      </c>
      <c r="J2" s="14"/>
      <c r="K2" s="14"/>
      <c r="L2" s="14"/>
      <c r="M2" s="14"/>
      <c r="N2" s="14"/>
      <c r="O2" s="14"/>
      <c r="P2" s="15" t="s">
        <v>976</v>
      </c>
      <c r="Q2" s="15"/>
      <c r="R2" s="15"/>
      <c r="S2" s="15"/>
      <c r="T2" s="15"/>
      <c r="U2" s="15"/>
      <c r="V2" s="15"/>
      <c r="W2" s="15"/>
      <c r="X2" s="16" t="s">
        <v>977</v>
      </c>
    </row>
    <row r="3" spans="1:24" x14ac:dyDescent="0.25">
      <c r="A3" s="13"/>
      <c r="B3" s="13"/>
      <c r="C3" s="13"/>
      <c r="D3" s="13"/>
      <c r="E3" s="13"/>
      <c r="F3" s="13"/>
      <c r="G3" s="13"/>
      <c r="H3" s="13"/>
      <c r="I3" s="14" t="s">
        <v>978</v>
      </c>
      <c r="J3" s="14" t="s">
        <v>979</v>
      </c>
      <c r="K3" s="14" t="s">
        <v>980</v>
      </c>
      <c r="L3" s="14" t="s">
        <v>981</v>
      </c>
      <c r="M3" s="14" t="s">
        <v>982</v>
      </c>
      <c r="N3" s="14" t="s">
        <v>983</v>
      </c>
      <c r="O3" s="14"/>
      <c r="P3" s="15"/>
      <c r="Q3" s="15"/>
      <c r="R3" s="15"/>
      <c r="S3" s="15"/>
      <c r="T3" s="15"/>
      <c r="U3" s="15"/>
      <c r="V3" s="15"/>
      <c r="W3" s="15"/>
      <c r="X3" s="16"/>
    </row>
    <row r="4" spans="1:24" s="1" customFormat="1" ht="28.5" x14ac:dyDescent="0.25">
      <c r="A4" s="17" t="s">
        <v>770</v>
      </c>
      <c r="B4" s="17" t="s">
        <v>771</v>
      </c>
      <c r="C4" s="17" t="s">
        <v>5</v>
      </c>
      <c r="D4" s="17" t="s">
        <v>3</v>
      </c>
      <c r="E4" s="17" t="s">
        <v>4</v>
      </c>
      <c r="F4" s="17" t="s">
        <v>772</v>
      </c>
      <c r="G4" s="17" t="s">
        <v>6</v>
      </c>
      <c r="H4" s="17" t="s">
        <v>2</v>
      </c>
      <c r="I4" s="18" t="s">
        <v>984</v>
      </c>
      <c r="J4" s="18" t="s">
        <v>985</v>
      </c>
      <c r="K4" s="18" t="s">
        <v>986</v>
      </c>
      <c r="L4" s="18" t="s">
        <v>987</v>
      </c>
      <c r="M4" s="18" t="s">
        <v>988</v>
      </c>
      <c r="N4" s="18" t="s">
        <v>989</v>
      </c>
      <c r="O4" s="18" t="s">
        <v>990</v>
      </c>
      <c r="P4" s="19" t="s">
        <v>991</v>
      </c>
      <c r="Q4" s="19" t="s">
        <v>992</v>
      </c>
      <c r="R4" s="19" t="s">
        <v>993</v>
      </c>
      <c r="S4" s="19" t="s">
        <v>994</v>
      </c>
      <c r="T4" s="19" t="s">
        <v>995</v>
      </c>
      <c r="U4" s="19" t="s">
        <v>996</v>
      </c>
      <c r="V4" s="19" t="s">
        <v>997</v>
      </c>
      <c r="W4" s="19" t="s">
        <v>998</v>
      </c>
      <c r="X4" s="16" t="s">
        <v>977</v>
      </c>
    </row>
    <row r="5" spans="1:24" ht="57" x14ac:dyDescent="0.25">
      <c r="A5" s="20" t="s">
        <v>773</v>
      </c>
      <c r="B5" s="20" t="s">
        <v>999</v>
      </c>
      <c r="C5" s="20" t="s">
        <v>109</v>
      </c>
      <c r="D5" s="20" t="s">
        <v>107</v>
      </c>
      <c r="E5" s="20" t="s">
        <v>108</v>
      </c>
      <c r="F5" s="20" t="s">
        <v>774</v>
      </c>
      <c r="G5" s="20"/>
      <c r="H5" s="20" t="s">
        <v>999</v>
      </c>
      <c r="I5" s="21" t="s">
        <v>975</v>
      </c>
      <c r="J5" s="21"/>
      <c r="K5" s="21"/>
      <c r="L5" s="21" t="s">
        <v>1000</v>
      </c>
      <c r="M5" s="21"/>
      <c r="N5" s="21" t="s">
        <v>1189</v>
      </c>
      <c r="O5" s="21"/>
      <c r="P5" s="22" t="str">
        <f>IF(_xlfn.CONCAT(テーブル14[[#This Row],[変更種別]:[keywords / 変更]])&lt;&gt;"","","*")</f>
        <v/>
      </c>
      <c r="Q5" s="22" t="str">
        <f>IF(テーブル14[[#This Row],[変更種別]]="削除","2",IF(テーブル14[[#This Row],[_ex2]]="","1",""))</f>
        <v>1</v>
      </c>
      <c r="R5" s="22" t="str">
        <f>IF(テーブル14[[#This Row],[変更種別]]="新規","",テーブル14[[#This Row],[id]])</f>
        <v>c07e8b16-66ca-4a1e-9ffb-4e87716e4aec</v>
      </c>
      <c r="S5" s="22" t="str">
        <f>IF(テーブル14[[#This Row],[変更種別]]="削除",
       "",
       IF(テーブル14[[#This Row],[title / 変更]]="",テーブル14[[#This Row],[title]],テーブル14[[#This Row],[title / 変更]]))</f>
        <v>育成・研修</v>
      </c>
      <c r="T5" s="22" t="str">
        <f>IF(テーブル14[[#This Row],[変更種別]]="削除",
       "",
       IF(テーブル14[[#This Row],[url / 変更]]="",テーブル14[[#This Row],[url]],テーブル14[[#This Row],[url / 変更]]))</f>
        <v>https://itochucorp.sharepoint.com/sites/intra-tokpj_hr-training/SitePages/TopPage.aspx</v>
      </c>
      <c r="U5" s="22" t="str">
        <f>IF(テーブル14[[#This Row],[変更種別]]="削除",
       "",
       IF(テーブル14[[#This Row],[keywords / 変更]]="",テーブル14[[#This Row],[keywords]],テーブル14[[#This Row],[keywords / 変更]]))</f>
        <v>[ "研修", "育成", "教育", "研鑽", "海外赴任前研修", "海外赴任前", "海外赴任", "LB英語試験", "LB", "リンガスキル", "英語試験", "TSST試験", "TSST", "SST試験", "SST", "TOEIC試験", "TOEIC", "キャリアビジョン支援研修", "キャリアビジョン", "基礎コース" ]</v>
      </c>
      <c r="V5" s="22" t="str">
        <f>IF(テーブル14[[#This Row],[変更種別]]="削除",
       "",
       IF(テーブル14[[#This Row],[comment]]="","",テーブル14[[#This Row],[comment]]))</f>
        <v/>
      </c>
      <c r="W5" s="22" t="str">
        <f>IF(テーブル14[[#This Row],[変更種別]]="削除",
       "",
       IF(テーブル14[[#This Row],[priority / 変更後]]="",テーブル14[[#This Row],[priority]],テーブル14[[#This Row],[priority / 変更後]]))</f>
        <v>1</v>
      </c>
      <c r="X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"研修", "育成", "教育", "研鑽", "海外赴任前研修", "海外赴任前", "海外赴任", "LB英語試験", "LB", "リンガスキル", "英語試験", "TSST試験", "TSST", "TOEIC試験", "TOEIC", "キャリアビジョン支援研修", "キャリアビジョン", "基礎コース" ]
　後: [ "研修", "育成", "教育", "研鑽", "海外赴任前研修", "海外赴任前", "海外赴任", "LB英語試験", "LB", "リンガスキル", "英語試験", "TSST試験", "TSST", "SST試験", "SST", "TOEIC試験", "TOEIC", "キャリアビジョン支援研修", "キャリアビジョン", "基礎コース" ]
</v>
      </c>
    </row>
    <row r="6" spans="1:24" x14ac:dyDescent="0.25">
      <c r="A6" s="20" t="s">
        <v>773</v>
      </c>
      <c r="B6" s="20" t="s">
        <v>999</v>
      </c>
      <c r="C6" s="20" t="s">
        <v>437</v>
      </c>
      <c r="D6" s="20" t="s">
        <v>435</v>
      </c>
      <c r="E6" s="20" t="s">
        <v>436</v>
      </c>
      <c r="F6" s="20" t="s">
        <v>775</v>
      </c>
      <c r="G6" s="20"/>
      <c r="H6" s="20" t="s">
        <v>999</v>
      </c>
      <c r="I6" s="21"/>
      <c r="J6" s="21"/>
      <c r="K6" s="21"/>
      <c r="L6" s="21"/>
      <c r="M6" s="21"/>
      <c r="N6" s="21" t="s">
        <v>1189</v>
      </c>
      <c r="O6" s="21"/>
      <c r="P6" s="22" t="str">
        <f>IF(_xlfn.CONCAT(テーブル14[[#This Row],[変更種別]:[keywords / 変更]])&lt;&gt;"","","*")</f>
        <v>*</v>
      </c>
      <c r="Q6" s="22" t="str">
        <f>IF(テーブル14[[#This Row],[変更種別]]="削除","2",IF(テーブル14[[#This Row],[_ex2]]="","1",""))</f>
        <v/>
      </c>
      <c r="R6" s="22" t="str">
        <f>IF(テーブル14[[#This Row],[変更種別]]="新規","",テーブル14[[#This Row],[id]])</f>
        <v>c51f4aa1-201e-4997-8f0c-1fa15ce89a5f</v>
      </c>
      <c r="S6" s="22" t="str">
        <f>IF(テーブル14[[#This Row],[変更種別]]="削除",
       "",
       IF(テーブル14[[#This Row],[title / 変更]]="",テーブル14[[#This Row],[title]],テーブル14[[#This Row],[title / 変更]]))</f>
        <v>社員食堂メニュー</v>
      </c>
      <c r="T6" s="22" t="str">
        <f>IF(テーブル14[[#This Row],[変更種別]]="削除",
       "",
       IF(テーブル14[[#This Row],[url / 変更]]="",テーブル14[[#This Row],[url]],テーブル14[[#This Row],[url / 変更]]))</f>
        <v>https://itochucorp.sharepoint.com/sites/extra-office/SitePages/社員食堂.aspx</v>
      </c>
      <c r="U6" s="22" t="str">
        <f>IF(テーブル14[[#This Row],[変更種別]]="削除",
       "",
       IF(テーブル14[[#This Row],[keywords / 変更]]="",テーブル14[[#This Row],[keywords]],テーブル14[[#This Row],[keywords / 変更]]))</f>
        <v>[ "同夢", "食堂", "社員食堂", "社食" ]</v>
      </c>
      <c r="V6" s="22" t="str">
        <f>IF(テーブル14[[#This Row],[変更種別]]="削除",
       "",
       IF(テーブル14[[#This Row],[comment]]="","",テーブル14[[#This Row],[comment]]))</f>
        <v/>
      </c>
      <c r="W6" s="22" t="str">
        <f>IF(テーブル14[[#This Row],[変更種別]]="削除",
       "",
       IF(テーブル14[[#This Row],[priority / 変更後]]="",テーブル14[[#This Row],[priority]],テーブル14[[#This Row],[priority / 変更後]]))</f>
        <v>1</v>
      </c>
      <c r="X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7" spans="1:24" x14ac:dyDescent="0.25">
      <c r="A7" s="20" t="s">
        <v>773</v>
      </c>
      <c r="B7" s="20" t="s">
        <v>999</v>
      </c>
      <c r="C7" s="20" t="s">
        <v>427</v>
      </c>
      <c r="D7" s="20" t="s">
        <v>425</v>
      </c>
      <c r="E7" s="20" t="s">
        <v>426</v>
      </c>
      <c r="F7" s="20" t="s">
        <v>776</v>
      </c>
      <c r="G7" s="20"/>
      <c r="H7" s="20" t="s">
        <v>999</v>
      </c>
      <c r="I7" s="21"/>
      <c r="J7" s="21"/>
      <c r="K7" s="21"/>
      <c r="L7" s="21"/>
      <c r="M7" s="21"/>
      <c r="N7" s="21" t="s">
        <v>1189</v>
      </c>
      <c r="O7" s="21"/>
      <c r="P7" s="22" t="str">
        <f>IF(_xlfn.CONCAT(テーブル14[[#This Row],[変更種別]:[keywords / 変更]])&lt;&gt;"","","*")</f>
        <v>*</v>
      </c>
      <c r="Q7" s="22" t="str">
        <f>IF(テーブル14[[#This Row],[変更種別]]="削除","2",IF(テーブル14[[#This Row],[_ex2]]="","1",""))</f>
        <v/>
      </c>
      <c r="R7" s="22" t="str">
        <f>IF(テーブル14[[#This Row],[変更種別]]="新規","",テーブル14[[#This Row],[id]])</f>
        <v>6c353042-82dd-4a44-9116-95c2fe4261c8</v>
      </c>
      <c r="S7" s="22" t="str">
        <f>IF(テーブル14[[#This Row],[変更種別]]="削除",
       "",
       IF(テーブル14[[#This Row],[title / 変更]]="",テーブル14[[#This Row],[title]],テーブル14[[#This Row],[title / 変更]]))</f>
        <v>持株会について</v>
      </c>
      <c r="T7" s="22" t="str">
        <f>IF(テーブル14[[#This Row],[変更種別]]="削除",
       "",
       IF(テーブル14[[#This Row],[url / 変更]]="",テーブル14[[#This Row],[url]],テーブル14[[#This Row],[url / 変更]]))</f>
        <v>https://itochucorp.sharepoint.com/sites/intra-tokpj_hr-faq/SitePages/kousei/持株会について.aspx</v>
      </c>
      <c r="U7" s="22" t="str">
        <f>IF(テーブル14[[#This Row],[変更種別]]="削除",
       "",
       IF(テーブル14[[#This Row],[keywords / 変更]]="",テーブル14[[#This Row],[keywords]],テーブル14[[#This Row],[keywords / 変更]]))</f>
        <v>[ "持株会", "持ち株会", "持株", "持ち株" ]</v>
      </c>
      <c r="V7" s="22" t="str">
        <f>IF(テーブル14[[#This Row],[変更種別]]="削除",
       "",
       IF(テーブル14[[#This Row],[comment]]="","",テーブル14[[#This Row],[comment]]))</f>
        <v/>
      </c>
      <c r="W7" s="22" t="str">
        <f>IF(テーブル14[[#This Row],[変更種別]]="削除",
       "",
       IF(テーブル14[[#This Row],[priority / 変更後]]="",テーブル14[[#This Row],[priority]],テーブル14[[#This Row],[priority / 変更後]]))</f>
        <v>1</v>
      </c>
      <c r="X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8" spans="1:24" ht="57" x14ac:dyDescent="0.25">
      <c r="A8" s="20" t="s">
        <v>773</v>
      </c>
      <c r="B8" s="20" t="s">
        <v>999</v>
      </c>
      <c r="C8" s="20" t="s">
        <v>114</v>
      </c>
      <c r="D8" s="20" t="s">
        <v>112</v>
      </c>
      <c r="E8" s="20" t="s">
        <v>113</v>
      </c>
      <c r="F8" s="20" t="s">
        <v>777</v>
      </c>
      <c r="G8" s="20"/>
      <c r="H8" s="20" t="s">
        <v>999</v>
      </c>
      <c r="I8" s="21" t="s">
        <v>975</v>
      </c>
      <c r="J8" s="21"/>
      <c r="K8" s="21"/>
      <c r="L8" s="21" t="s">
        <v>1001</v>
      </c>
      <c r="M8" s="21"/>
      <c r="N8" s="21" t="s">
        <v>1189</v>
      </c>
      <c r="O8" s="21"/>
      <c r="P8" s="22" t="str">
        <f>IF(_xlfn.CONCAT(テーブル14[[#This Row],[変更種別]:[keywords / 変更]])&lt;&gt;"","","*")</f>
        <v/>
      </c>
      <c r="Q8" s="22" t="str">
        <f>IF(テーブル14[[#This Row],[変更種別]]="削除","2",IF(テーブル14[[#This Row],[_ex2]]="","1",""))</f>
        <v>1</v>
      </c>
      <c r="R8" s="22" t="str">
        <f>IF(テーブル14[[#This Row],[変更種別]]="新規","",テーブル14[[#This Row],[id]])</f>
        <v>15062cd3-8d44-4d8f-9117-79df1b4c1ef0</v>
      </c>
      <c r="S8" s="22" t="str">
        <f>IF(テーブル14[[#This Row],[変更種別]]="削除",
       "",
       IF(テーブル14[[#This Row],[title / 変更]]="",テーブル14[[#This Row],[title]],テーブル14[[#This Row],[title / 変更]]))</f>
        <v>MBOシステム（社内からのアクセス）</v>
      </c>
      <c r="T8" s="22" t="str">
        <f>IF(テーブル14[[#This Row],[変更種別]]="削除",
       "",
       IF(テーブル14[[#This Row],[url / 変更]]="",テーブル14[[#This Row],[url]],テーブル14[[#This Row],[url / 変更]]))</f>
        <v>https://hrportal.intra.itochu.co.jp/PORTAL/login.aspx</v>
      </c>
      <c r="U8" s="22" t="str">
        <f>IF(テーブル14[[#This Row],[変更種別]]="削除",
       "",
       IF(テーブル14[[#This Row],[keywords / 変更]]="",テーブル14[[#This Row],[keywords]],テーブル14[[#This Row],[keywords / 変更]]))</f>
        <v>[ "mbo", "ｍｂｏ", "目標管理", "目標" ]</v>
      </c>
      <c r="V8" s="22" t="str">
        <f>IF(テーブル14[[#This Row],[変更種別]]="削除",
       "",
       IF(テーブル14[[#This Row],[comment]]="","",テーブル14[[#This Row],[comment]]))</f>
        <v/>
      </c>
      <c r="W8" s="22" t="str">
        <f>IF(テーブル14[[#This Row],[変更種別]]="削除",
       "",
       IF(テーブル14[[#This Row],[priority / 変更後]]="",テーブル14[[#This Row],[priority]],テーブル14[[#This Row],[priority / 変更後]]))</f>
        <v>1</v>
      </c>
      <c r="X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"mbo", "目標管理", "目標" ]
　後: [ "mbo", "ｍｂｏ", "目標管理", "目標" ]
</v>
      </c>
    </row>
    <row r="9" spans="1:24" ht="57" x14ac:dyDescent="0.25">
      <c r="A9" s="20" t="s">
        <v>773</v>
      </c>
      <c r="B9" s="20" t="s">
        <v>999</v>
      </c>
      <c r="C9" s="20" t="s">
        <v>117</v>
      </c>
      <c r="D9" s="20" t="s">
        <v>115</v>
      </c>
      <c r="E9" s="20" t="s">
        <v>116</v>
      </c>
      <c r="F9" s="20" t="s">
        <v>777</v>
      </c>
      <c r="G9" s="20"/>
      <c r="H9" s="20" t="s">
        <v>999</v>
      </c>
      <c r="I9" s="21" t="s">
        <v>975</v>
      </c>
      <c r="J9" s="21"/>
      <c r="K9" s="21"/>
      <c r="L9" s="21" t="s">
        <v>1001</v>
      </c>
      <c r="M9" s="21"/>
      <c r="N9" s="21" t="s">
        <v>1191</v>
      </c>
      <c r="O9" s="21"/>
      <c r="P9" s="22" t="str">
        <f>IF(_xlfn.CONCAT(テーブル14[[#This Row],[変更種別]:[keywords / 変更]])&lt;&gt;"","","*")</f>
        <v/>
      </c>
      <c r="Q9" s="22" t="str">
        <f>IF(テーブル14[[#This Row],[変更種別]]="削除","2",IF(テーブル14[[#This Row],[_ex2]]="","1",""))</f>
        <v>1</v>
      </c>
      <c r="R9" s="22" t="str">
        <f>IF(テーブル14[[#This Row],[変更種別]]="新規","",テーブル14[[#This Row],[id]])</f>
        <v>bcccf0ad-679d-4677-b122-c9b8d6569f69</v>
      </c>
      <c r="S9" s="22" t="str">
        <f>IF(テーブル14[[#This Row],[変更種別]]="削除",
       "",
       IF(テーブル14[[#This Row],[title / 変更]]="",テーブル14[[#This Row],[title]],テーブル14[[#This Row],[title / 変更]]))</f>
        <v>MBOシステム（社外からのアクセス）</v>
      </c>
      <c r="T9" s="22" t="str">
        <f>IF(テーブル14[[#This Row],[変更種別]]="削除",
       "",
       IF(テーブル14[[#This Row],[url / 変更]]="",テーブル14[[#This Row],[url]],テーブル14[[#This Row],[url / 変更]]))</f>
        <v>https://hrportal.itochu.co.jp/PORTAL/login.aspx</v>
      </c>
      <c r="U9" s="22" t="str">
        <f>IF(テーブル14[[#This Row],[変更種別]]="削除",
       "",
       IF(テーブル14[[#This Row],[keywords / 変更]]="",テーブル14[[#This Row],[keywords]],テーブル14[[#This Row],[keywords / 変更]]))</f>
        <v>[ "mbo", "ｍｂｏ", "目標管理", "目標" ]</v>
      </c>
      <c r="V9" s="22" t="str">
        <f>IF(テーブル14[[#This Row],[変更種別]]="削除",
       "",
       IF(テーブル14[[#This Row],[comment]]="","",テーブル14[[#This Row],[comment]]))</f>
        <v/>
      </c>
      <c r="W9" s="22" t="str">
        <f>IF(テーブル14[[#This Row],[変更種別]]="削除",
       "",
       IF(テーブル14[[#This Row],[priority / 変更後]]="",テーブル14[[#This Row],[priority]],テーブル14[[#This Row],[priority / 変更後]]))</f>
        <v>2</v>
      </c>
      <c r="X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"mbo", "目標管理", "目標" ]
　後: [ "mbo", "ｍｂｏ", "目標管理", "目標" ]
</v>
      </c>
    </row>
    <row r="10" spans="1:24" x14ac:dyDescent="0.25">
      <c r="A10" s="20" t="s">
        <v>773</v>
      </c>
      <c r="B10" s="20" t="s">
        <v>999</v>
      </c>
      <c r="C10" s="20" t="s">
        <v>778</v>
      </c>
      <c r="D10" s="20" t="s">
        <v>779</v>
      </c>
      <c r="E10" s="20" t="s">
        <v>780</v>
      </c>
      <c r="F10" s="20" t="s">
        <v>781</v>
      </c>
      <c r="G10" s="20"/>
      <c r="H10" s="20" t="s">
        <v>999</v>
      </c>
      <c r="I10" s="21" t="s">
        <v>1002</v>
      </c>
      <c r="J10" s="21"/>
      <c r="K10" s="21"/>
      <c r="L10" s="21"/>
      <c r="M10" s="21"/>
      <c r="N10" s="21"/>
      <c r="O10" s="21" t="s">
        <v>1003</v>
      </c>
      <c r="P10" s="22" t="str">
        <f>IF(_xlfn.CONCAT(テーブル14[[#This Row],[変更種別]:[keywords / 変更]])&lt;&gt;"","","*")</f>
        <v/>
      </c>
      <c r="Q10" s="22" t="str">
        <f>IF(テーブル14[[#This Row],[変更種別]]="削除","2",IF(テーブル14[[#This Row],[_ex2]]="","1",""))</f>
        <v>2</v>
      </c>
      <c r="R10" s="22" t="str">
        <f>IF(テーブル14[[#This Row],[変更種別]]="新規","",テーブル14[[#This Row],[id]])</f>
        <v>6c816dad-01cd-4911-8a35-0a74641052c5</v>
      </c>
      <c r="S10" s="22" t="str">
        <f>IF(テーブル14[[#This Row],[変更種別]]="削除",
       "",
       IF(テーブル14[[#This Row],[title / 変更]]="",テーブル14[[#This Row],[title]],テーブル14[[#This Row],[title / 変更]]))</f>
        <v/>
      </c>
      <c r="T10" s="22" t="str">
        <f>IF(テーブル14[[#This Row],[変更種別]]="削除",
       "",
       IF(テーブル14[[#This Row],[url / 変更]]="",テーブル14[[#This Row],[url]],テーブル14[[#This Row],[url / 変更]]))</f>
        <v/>
      </c>
      <c r="U10" s="22" t="str">
        <f>IF(テーブル14[[#This Row],[変更種別]]="削除",
       "",
       IF(テーブル14[[#This Row],[keywords / 変更]]="",テーブル14[[#This Row],[keywords]],テーブル14[[#This Row],[keywords / 変更]]))</f>
        <v/>
      </c>
      <c r="V10" s="22" t="str">
        <f>IF(テーブル14[[#This Row],[変更種別]]="削除",
       "",
       IF(テーブル14[[#This Row],[comment]]="","",テーブル14[[#This Row],[comment]]))</f>
        <v/>
      </c>
      <c r="W10" s="22" t="str">
        <f>IF(テーブル14[[#This Row],[変更種別]]="削除",
       "",
       IF(テーブル14[[#This Row],[priority / 変更後]]="",テーブル14[[#This Row],[priority]],テーブル14[[#This Row],[priority / 変更後]]))</f>
        <v/>
      </c>
      <c r="X1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1" spans="1:24" x14ac:dyDescent="0.25">
      <c r="A11" s="20" t="s">
        <v>773</v>
      </c>
      <c r="B11" s="20" t="s">
        <v>999</v>
      </c>
      <c r="C11" s="20" t="s">
        <v>782</v>
      </c>
      <c r="D11" s="20" t="s">
        <v>783</v>
      </c>
      <c r="E11" s="20" t="s">
        <v>784</v>
      </c>
      <c r="F11" s="20" t="s">
        <v>781</v>
      </c>
      <c r="G11" s="20"/>
      <c r="H11" s="20" t="s">
        <v>999</v>
      </c>
      <c r="I11" s="21" t="s">
        <v>1002</v>
      </c>
      <c r="J11" s="21"/>
      <c r="K11" s="21"/>
      <c r="L11" s="21"/>
      <c r="M11" s="21"/>
      <c r="N11" s="21"/>
      <c r="O11" s="21" t="s">
        <v>1003</v>
      </c>
      <c r="P11" s="22" t="str">
        <f>IF(_xlfn.CONCAT(テーブル14[[#This Row],[変更種別]:[keywords / 変更]])&lt;&gt;"","","*")</f>
        <v/>
      </c>
      <c r="Q11" s="22" t="str">
        <f>IF(テーブル14[[#This Row],[変更種別]]="削除","2",IF(テーブル14[[#This Row],[_ex2]]="","1",""))</f>
        <v>2</v>
      </c>
      <c r="R11" s="22" t="str">
        <f>IF(テーブル14[[#This Row],[変更種別]]="新規","",テーブル14[[#This Row],[id]])</f>
        <v>a47066bd-6776-49f2-97b4-49c7b64f24c9</v>
      </c>
      <c r="S11" s="22" t="str">
        <f>IF(テーブル14[[#This Row],[変更種別]]="削除",
       "",
       IF(テーブル14[[#This Row],[title / 変更]]="",テーブル14[[#This Row],[title]],テーブル14[[#This Row],[title / 変更]]))</f>
        <v/>
      </c>
      <c r="T11" s="22" t="str">
        <f>IF(テーブル14[[#This Row],[変更種別]]="削除",
       "",
       IF(テーブル14[[#This Row],[url / 変更]]="",テーブル14[[#This Row],[url]],テーブル14[[#This Row],[url / 変更]]))</f>
        <v/>
      </c>
      <c r="U11" s="22" t="str">
        <f>IF(テーブル14[[#This Row],[変更種別]]="削除",
       "",
       IF(テーブル14[[#This Row],[keywords / 変更]]="",テーブル14[[#This Row],[keywords]],テーブル14[[#This Row],[keywords / 変更]]))</f>
        <v/>
      </c>
      <c r="V11" s="22" t="str">
        <f>IF(テーブル14[[#This Row],[変更種別]]="削除",
       "",
       IF(テーブル14[[#This Row],[comment]]="","",テーブル14[[#This Row],[comment]]))</f>
        <v/>
      </c>
      <c r="W11" s="22" t="str">
        <f>IF(テーブル14[[#This Row],[変更種別]]="削除",
       "",
       IF(テーブル14[[#This Row],[priority / 変更後]]="",テーブル14[[#This Row],[priority]],テーブル14[[#This Row],[priority / 変更後]]))</f>
        <v/>
      </c>
      <c r="X1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2" spans="1:24" x14ac:dyDescent="0.25">
      <c r="A12" s="20" t="s">
        <v>773</v>
      </c>
      <c r="B12" s="20" t="s">
        <v>999</v>
      </c>
      <c r="C12" s="20" t="s">
        <v>785</v>
      </c>
      <c r="D12" s="20" t="s">
        <v>786</v>
      </c>
      <c r="E12" s="20" t="s">
        <v>787</v>
      </c>
      <c r="F12" s="20" t="s">
        <v>781</v>
      </c>
      <c r="G12" s="20"/>
      <c r="H12" s="20" t="s">
        <v>999</v>
      </c>
      <c r="I12" s="21" t="s">
        <v>1002</v>
      </c>
      <c r="J12" s="21"/>
      <c r="K12" s="21"/>
      <c r="L12" s="21"/>
      <c r="M12" s="21"/>
      <c r="N12" s="21"/>
      <c r="O12" s="21" t="s">
        <v>1004</v>
      </c>
      <c r="P12" s="22" t="str">
        <f>IF(_xlfn.CONCAT(テーブル14[[#This Row],[変更種別]:[keywords / 変更]])&lt;&gt;"","","*")</f>
        <v/>
      </c>
      <c r="Q12" s="22" t="str">
        <f>IF(テーブル14[[#This Row],[変更種別]]="削除","2",IF(テーブル14[[#This Row],[_ex2]]="","1",""))</f>
        <v>2</v>
      </c>
      <c r="R12" s="22" t="str">
        <f>IF(テーブル14[[#This Row],[変更種別]]="新規","",テーブル14[[#This Row],[id]])</f>
        <v>33e062ab-20cd-425a-9c10-6867e88d3210</v>
      </c>
      <c r="S12" s="22" t="str">
        <f>IF(テーブル14[[#This Row],[変更種別]]="削除",
       "",
       IF(テーブル14[[#This Row],[title / 変更]]="",テーブル14[[#This Row],[title]],テーブル14[[#This Row],[title / 変更]]))</f>
        <v/>
      </c>
      <c r="T12" s="22" t="str">
        <f>IF(テーブル14[[#This Row],[変更種別]]="削除",
       "",
       IF(テーブル14[[#This Row],[url / 変更]]="",テーブル14[[#This Row],[url]],テーブル14[[#This Row],[url / 変更]]))</f>
        <v/>
      </c>
      <c r="U12" s="22" t="str">
        <f>IF(テーブル14[[#This Row],[変更種別]]="削除",
       "",
       IF(テーブル14[[#This Row],[keywords / 変更]]="",テーブル14[[#This Row],[keywords]],テーブル14[[#This Row],[keywords / 変更]]))</f>
        <v/>
      </c>
      <c r="V12" s="22" t="str">
        <f>IF(テーブル14[[#This Row],[変更種別]]="削除",
       "",
       IF(テーブル14[[#This Row],[comment]]="","",テーブル14[[#This Row],[comment]]))</f>
        <v/>
      </c>
      <c r="W12" s="22" t="str">
        <f>IF(テーブル14[[#This Row],[変更種別]]="削除",
       "",
       IF(テーブル14[[#This Row],[priority / 変更後]]="",テーブル14[[#This Row],[priority]],テーブル14[[#This Row],[priority / 変更後]]))</f>
        <v/>
      </c>
      <c r="X1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3" spans="1:24" x14ac:dyDescent="0.25">
      <c r="A13" s="20" t="s">
        <v>773</v>
      </c>
      <c r="B13" s="20" t="s">
        <v>999</v>
      </c>
      <c r="C13" s="20" t="s">
        <v>788</v>
      </c>
      <c r="D13" s="20" t="s">
        <v>789</v>
      </c>
      <c r="E13" s="20" t="s">
        <v>790</v>
      </c>
      <c r="F13" s="20" t="s">
        <v>781</v>
      </c>
      <c r="G13" s="20"/>
      <c r="H13" s="20" t="s">
        <v>999</v>
      </c>
      <c r="I13" s="21" t="s">
        <v>1002</v>
      </c>
      <c r="J13" s="21"/>
      <c r="K13" s="21"/>
      <c r="L13" s="21"/>
      <c r="M13" s="21"/>
      <c r="N13" s="21"/>
      <c r="O13" s="21" t="s">
        <v>1004</v>
      </c>
      <c r="P13" s="22" t="str">
        <f>IF(_xlfn.CONCAT(テーブル14[[#This Row],[変更種別]:[keywords / 変更]])&lt;&gt;"","","*")</f>
        <v/>
      </c>
      <c r="Q13" s="22" t="str">
        <f>IF(テーブル14[[#This Row],[変更種別]]="削除","2",IF(テーブル14[[#This Row],[_ex2]]="","1",""))</f>
        <v>2</v>
      </c>
      <c r="R13" s="22" t="str">
        <f>IF(テーブル14[[#This Row],[変更種別]]="新規","",テーブル14[[#This Row],[id]])</f>
        <v>0e8b8fc0-755a-4e35-b763-561f35862680</v>
      </c>
      <c r="S13" s="22" t="str">
        <f>IF(テーブル14[[#This Row],[変更種別]]="削除",
       "",
       IF(テーブル14[[#This Row],[title / 変更]]="",テーブル14[[#This Row],[title]],テーブル14[[#This Row],[title / 変更]]))</f>
        <v/>
      </c>
      <c r="T13" s="22" t="str">
        <f>IF(テーブル14[[#This Row],[変更種別]]="削除",
       "",
       IF(テーブル14[[#This Row],[url / 変更]]="",テーブル14[[#This Row],[url]],テーブル14[[#This Row],[url / 変更]]))</f>
        <v/>
      </c>
      <c r="U13" s="22" t="str">
        <f>IF(テーブル14[[#This Row],[変更種別]]="削除",
       "",
       IF(テーブル14[[#This Row],[keywords / 変更]]="",テーブル14[[#This Row],[keywords]],テーブル14[[#This Row],[keywords / 変更]]))</f>
        <v/>
      </c>
      <c r="V13" s="22" t="str">
        <f>IF(テーブル14[[#This Row],[変更種別]]="削除",
       "",
       IF(テーブル14[[#This Row],[comment]]="","",テーブル14[[#This Row],[comment]]))</f>
        <v/>
      </c>
      <c r="W13" s="22" t="str">
        <f>IF(テーブル14[[#This Row],[変更種別]]="削除",
       "",
       IF(テーブル14[[#This Row],[priority / 変更後]]="",テーブル14[[#This Row],[priority]],テーブル14[[#This Row],[priority / 変更後]]))</f>
        <v/>
      </c>
      <c r="X1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4" spans="1:24" x14ac:dyDescent="0.25">
      <c r="A14" s="20" t="s">
        <v>773</v>
      </c>
      <c r="B14" s="20" t="s">
        <v>999</v>
      </c>
      <c r="C14" s="20" t="s">
        <v>441</v>
      </c>
      <c r="D14" s="20" t="s">
        <v>439</v>
      </c>
      <c r="E14" s="20" t="s">
        <v>440</v>
      </c>
      <c r="F14" s="20" t="s">
        <v>791</v>
      </c>
      <c r="G14" s="20"/>
      <c r="H14" s="20" t="s">
        <v>999</v>
      </c>
      <c r="I14" s="21"/>
      <c r="J14" s="21"/>
      <c r="K14" s="21"/>
      <c r="L14" s="21"/>
      <c r="M14" s="21"/>
      <c r="N14" s="21"/>
      <c r="O14" s="21"/>
      <c r="P14" s="22" t="str">
        <f>IF(_xlfn.CONCAT(テーブル14[[#This Row],[変更種別]:[keywords / 変更]])&lt;&gt;"","","*")</f>
        <v>*</v>
      </c>
      <c r="Q14" s="22" t="str">
        <f>IF(テーブル14[[#This Row],[変更種別]]="削除","2",IF(テーブル14[[#This Row],[_ex2]]="","1",""))</f>
        <v/>
      </c>
      <c r="R14" s="22" t="str">
        <f>IF(テーブル14[[#This Row],[変更種別]]="新規","",テーブル14[[#This Row],[id]])</f>
        <v>eb8e897f-fc80-40d4-a48a-3c12282c67af</v>
      </c>
      <c r="S14" s="22" t="str">
        <f>IF(テーブル14[[#This Row],[変更種別]]="削除",
       "",
       IF(テーブル14[[#This Row],[title / 変更]]="",テーブル14[[#This Row],[title]],テーブル14[[#This Row],[title / 変更]]))</f>
        <v>福利厚生</v>
      </c>
      <c r="T14" s="22" t="str">
        <f>IF(テーブル14[[#This Row],[変更種別]]="削除",
       "",
       IF(テーブル14[[#This Row],[url / 変更]]="",テーブル14[[#This Row],[url]],テーブル14[[#This Row],[url / 変更]]))</f>
        <v>https://itochucorp.sharepoint.com/sites/intra-tokpj_hr/SitePages/welfare/福利厚生.aspx</v>
      </c>
      <c r="U14" s="22" t="str">
        <f>IF(テーブル14[[#This Row],[変更種別]]="削除",
       "",
       IF(テーブル14[[#This Row],[keywords / 変更]]="",テーブル14[[#This Row],[keywords]],テーブル14[[#This Row],[keywords / 変更]]))</f>
        <v>[ "社宅", "寮", "社員寮", "日吉寮", "日吉" ]</v>
      </c>
      <c r="V14" s="22" t="str">
        <f>IF(テーブル14[[#This Row],[変更種別]]="削除",
       "",
       IF(テーブル14[[#This Row],[comment]]="","",テーブル14[[#This Row],[comment]]))</f>
        <v/>
      </c>
      <c r="W14" s="22" t="str">
        <f>IF(テーブル14[[#This Row],[変更種別]]="削除",
       "",
       IF(テーブル14[[#This Row],[priority / 変更後]]="",テーブル14[[#This Row],[priority]],テーブル14[[#This Row],[priority / 変更後]]))</f>
        <v>1</v>
      </c>
      <c r="X1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5" spans="1:24" ht="99.75" x14ac:dyDescent="0.25">
      <c r="A15" s="20" t="s">
        <v>773</v>
      </c>
      <c r="B15" s="20" t="s">
        <v>999</v>
      </c>
      <c r="C15" s="20" t="s">
        <v>1005</v>
      </c>
      <c r="D15" s="20" t="s">
        <v>792</v>
      </c>
      <c r="E15" s="20" t="s">
        <v>793</v>
      </c>
      <c r="F15" s="20" t="s">
        <v>794</v>
      </c>
      <c r="G15" s="20"/>
      <c r="H15" s="20" t="s">
        <v>999</v>
      </c>
      <c r="I15" s="21" t="s">
        <v>975</v>
      </c>
      <c r="J15" s="21" t="s">
        <v>1006</v>
      </c>
      <c r="K15" s="21"/>
      <c r="L15" s="21" t="s">
        <v>1184</v>
      </c>
      <c r="M15" s="21"/>
      <c r="N15" s="21" t="s">
        <v>1189</v>
      </c>
      <c r="O15" s="21"/>
      <c r="P15" s="22" t="str">
        <f>IF(_xlfn.CONCAT(テーブル14[[#This Row],[変更種別]:[keywords / 変更]])&lt;&gt;"","","*")</f>
        <v/>
      </c>
      <c r="Q15" s="22" t="str">
        <f>IF(テーブル14[[#This Row],[変更種別]]="削除","2",IF(テーブル14[[#This Row],[_ex2]]="","1",""))</f>
        <v>1</v>
      </c>
      <c r="R15" s="22" t="str">
        <f>IF(テーブル14[[#This Row],[変更種別]]="新規","",テーブル14[[#This Row],[id]])</f>
        <v>2225d5f2-9a21-46f6-9952-42533df0ed26</v>
      </c>
      <c r="S15" s="22" t="str">
        <f>IF(テーブル14[[#This Row],[変更種別]]="削除",
       "",
       IF(テーブル14[[#This Row],[title / 変更]]="",テーブル14[[#This Row],[title]],テーブル14[[#This Row],[title / 変更]]))</f>
        <v>HRポータル</v>
      </c>
      <c r="T15" s="22" t="str">
        <f>IF(テーブル14[[#This Row],[変更種別]]="削除",
       "",
       IF(テーブル14[[#This Row],[url / 変更]]="",テーブル14[[#This Row],[url]],テーブル14[[#This Row],[url / 変更]]))</f>
        <v>https://hrportal.itochu.co.jp/shain/j_menu.asp</v>
      </c>
      <c r="U15" s="22" t="str">
        <f>IF(テーブル14[[#This Row],[変更種別]]="削除",
       "",
       IF(テーブル14[[#This Row],[keywords / 変更]]="",テーブル14[[#This Row],[keywords]],テーブル14[[#This Row],[keywords / 変更]]))</f>
        <v>[ "源泉徴収", "源泉徴収表", "源泉", "源泉徴収票", "給与明細",  "band通知書", "ｂａｎｄ通知書", "grade通知書", "ｇｒａｄｅ通知書", "海外給与", "異動決定", "web評価", "ｗｅｂ評価", "身上異動", "医療費", "年末調整", "親展通知", "親展", "通知", "給与", "異動", "年調", "身上", "マイナンバー", "賞与", "ボーナス" ]</v>
      </c>
      <c r="V15" s="22" t="str">
        <f>IF(テーブル14[[#This Row],[変更種別]]="削除",
       "",
       IF(テーブル14[[#This Row],[comment]]="","",テーブル14[[#This Row],[comment]]))</f>
        <v/>
      </c>
      <c r="W15" s="22" t="str">
        <f>IF(テーブル14[[#This Row],[変更種別]]="削除",
       "",
       IF(テーブル14[[#This Row],[priority / 変更後]]="",テーブル14[[#This Row],[priority]],テーブル14[[#This Row],[priority / 変更後]]))</f>
        <v>1</v>
      </c>
      <c r="X1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前: 親展通知システム
　後: HRポータル
■ KEYWORDS
　前: [ "源泉徴収", "源泉徴収表", "源泉", "源泉徴収票", "給与明細", "変動給", "BAND通知書", "GRADE通知書", "海外給与", "異動決定", "Web評価", "身上異動", "医療費", "年末調整", "親展通知", "親展", "通知", "給与", "異動", "年調", "身上", "マイナンバー" ]
　後: [ "源泉徴収", "源泉徴収表", "源泉", "源泉徴収票", "給与明細",  "band通知書", "ｂａｎｄ通知書", "grade通知書", "ｇｒａｄｅ通知書", "海外給与", "異動決定", "web評価", "ｗｅｂ評価", "身上異動", "医療費", "年末調整", "親展通知", "親展", "通知", "給与", "異動", "年調", "身上", "マイナンバー", "賞与", "ボーナス" ]
</v>
      </c>
    </row>
    <row r="16" spans="1:24" x14ac:dyDescent="0.25">
      <c r="A16" s="20" t="s">
        <v>773</v>
      </c>
      <c r="B16" s="20" t="s">
        <v>999</v>
      </c>
      <c r="C16" s="20" t="s">
        <v>259</v>
      </c>
      <c r="D16" s="20" t="s">
        <v>257</v>
      </c>
      <c r="E16" s="20" t="s">
        <v>258</v>
      </c>
      <c r="F16" s="20" t="s">
        <v>795</v>
      </c>
      <c r="G16" s="20"/>
      <c r="H16" s="20" t="s">
        <v>999</v>
      </c>
      <c r="I16" s="21"/>
      <c r="J16" s="21"/>
      <c r="K16" s="21"/>
      <c r="L16" s="21"/>
      <c r="M16" s="21"/>
      <c r="N16" s="21" t="s">
        <v>1189</v>
      </c>
      <c r="O16" s="21"/>
      <c r="P16" s="22" t="str">
        <f>IF(_xlfn.CONCAT(テーブル14[[#This Row],[変更種別]:[keywords / 変更]])&lt;&gt;"","","*")</f>
        <v>*</v>
      </c>
      <c r="Q16" s="22" t="str">
        <f>IF(テーブル14[[#This Row],[変更種別]]="削除","2",IF(テーブル14[[#This Row],[_ex2]]="","1",""))</f>
        <v/>
      </c>
      <c r="R16" s="22" t="str">
        <f>IF(テーブル14[[#This Row],[変更種別]]="新規","",テーブル14[[#This Row],[id]])</f>
        <v>0aaadc44-3a03-46b9-8f27-78da6e23bc52</v>
      </c>
      <c r="S16" s="22" t="str">
        <f>IF(テーブル14[[#This Row],[変更種別]]="削除",
       "",
       IF(テーブル14[[#This Row],[title / 変更]]="",テーブル14[[#This Row],[title]],テーブル14[[#This Row],[title / 変更]]))</f>
        <v>朝型勤務に伴う軽食配布　利用のご案内</v>
      </c>
      <c r="T16" s="22" t="str">
        <f>IF(テーブル14[[#This Row],[変更種別]]="削除",
       "",
       IF(テーブル14[[#This Row],[url / 変更]]="",テーブル14[[#This Row],[url]],テーブル14[[#This Row],[url / 変更]]))</f>
        <v>https://itochucorp.sharepoint.com/sites/intra-tokpj_hr/D_LevelA3/jikan/朝型勤務に伴う軽食配布　利用のご案内.pdf</v>
      </c>
      <c r="U16" s="22" t="str">
        <f>IF(テーブル14[[#This Row],[変更種別]]="削除",
       "",
       IF(テーブル14[[#This Row],[keywords / 変更]]="",テーブル14[[#This Row],[keywords]],テーブル14[[#This Row],[keywords / 変更]]))</f>
        <v>[ "朝食", "朝", "バナナ", "朝型", "軽食" ]</v>
      </c>
      <c r="V16" s="22" t="str">
        <f>IF(テーブル14[[#This Row],[変更種別]]="削除",
       "",
       IF(テーブル14[[#This Row],[comment]]="","",テーブル14[[#This Row],[comment]]))</f>
        <v/>
      </c>
      <c r="W16" s="22" t="str">
        <f>IF(テーブル14[[#This Row],[変更種別]]="削除",
       "",
       IF(テーブル14[[#This Row],[priority / 変更後]]="",テーブル14[[#This Row],[priority]],テーブル14[[#This Row],[priority / 変更後]]))</f>
        <v>1</v>
      </c>
      <c r="X1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7" spans="1:24" x14ac:dyDescent="0.25">
      <c r="A17" s="20" t="s">
        <v>773</v>
      </c>
      <c r="B17" s="20" t="s">
        <v>999</v>
      </c>
      <c r="C17" s="20" t="s">
        <v>796</v>
      </c>
      <c r="D17" s="20" t="s">
        <v>797</v>
      </c>
      <c r="E17" s="20" t="s">
        <v>798</v>
      </c>
      <c r="F17" s="20" t="s">
        <v>799</v>
      </c>
      <c r="G17" s="20"/>
      <c r="H17" s="20" t="s">
        <v>999</v>
      </c>
      <c r="I17" s="21" t="s">
        <v>1002</v>
      </c>
      <c r="J17" s="21"/>
      <c r="K17" s="21"/>
      <c r="L17" s="21"/>
      <c r="M17" s="21"/>
      <c r="N17" s="21"/>
      <c r="O17" s="21" t="s">
        <v>1007</v>
      </c>
      <c r="P17" s="22" t="str">
        <f>IF(_xlfn.CONCAT(テーブル14[[#This Row],[変更種別]:[keywords / 変更]])&lt;&gt;"","","*")</f>
        <v/>
      </c>
      <c r="Q17" s="22" t="str">
        <f>IF(テーブル14[[#This Row],[変更種別]]="削除","2",IF(テーブル14[[#This Row],[_ex2]]="","1",""))</f>
        <v>2</v>
      </c>
      <c r="R17" s="22" t="str">
        <f>IF(テーブル14[[#This Row],[変更種別]]="新規","",テーブル14[[#This Row],[id]])</f>
        <v>4dd51978-c898-4d2e-a7fd-343f92bb2b13</v>
      </c>
      <c r="S17" s="22" t="str">
        <f>IF(テーブル14[[#This Row],[変更種別]]="削除",
       "",
       IF(テーブル14[[#This Row],[title / 変更]]="",テーブル14[[#This Row],[title]],テーブル14[[#This Row],[title / 変更]]))</f>
        <v/>
      </c>
      <c r="T17" s="22" t="str">
        <f>IF(テーブル14[[#This Row],[変更種別]]="削除",
       "",
       IF(テーブル14[[#This Row],[url / 変更]]="",テーブル14[[#This Row],[url]],テーブル14[[#This Row],[url / 変更]]))</f>
        <v/>
      </c>
      <c r="U17" s="22" t="str">
        <f>IF(テーブル14[[#This Row],[変更種別]]="削除",
       "",
       IF(テーブル14[[#This Row],[keywords / 変更]]="",テーブル14[[#This Row],[keywords]],テーブル14[[#This Row],[keywords / 変更]]))</f>
        <v/>
      </c>
      <c r="V17" s="22" t="str">
        <f>IF(テーブル14[[#This Row],[変更種別]]="削除",
       "",
       IF(テーブル14[[#This Row],[comment]]="","",テーブル14[[#This Row],[comment]]))</f>
        <v/>
      </c>
      <c r="W17" s="22" t="str">
        <f>IF(テーブル14[[#This Row],[変更種別]]="削除",
       "",
       IF(テーブル14[[#This Row],[priority / 変更後]]="",テーブル14[[#This Row],[priority]],テーブル14[[#This Row],[priority / 変更後]]))</f>
        <v/>
      </c>
      <c r="X1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8" spans="1:24" x14ac:dyDescent="0.25">
      <c r="A18" s="20" t="s">
        <v>773</v>
      </c>
      <c r="B18" s="20" t="s">
        <v>999</v>
      </c>
      <c r="C18" s="20" t="s">
        <v>800</v>
      </c>
      <c r="D18" s="20" t="s">
        <v>801</v>
      </c>
      <c r="E18" s="20" t="s">
        <v>802</v>
      </c>
      <c r="F18" s="20" t="s">
        <v>799</v>
      </c>
      <c r="G18" s="20"/>
      <c r="H18" s="20" t="s">
        <v>999</v>
      </c>
      <c r="I18" s="21" t="s">
        <v>1002</v>
      </c>
      <c r="J18" s="21"/>
      <c r="K18" s="21"/>
      <c r="L18" s="21"/>
      <c r="M18" s="21"/>
      <c r="N18" s="21"/>
      <c r="O18" s="21" t="s">
        <v>1008</v>
      </c>
      <c r="P18" s="22" t="str">
        <f>IF(_xlfn.CONCAT(テーブル14[[#This Row],[変更種別]:[keywords / 変更]])&lt;&gt;"","","*")</f>
        <v/>
      </c>
      <c r="Q18" s="22" t="str">
        <f>IF(テーブル14[[#This Row],[変更種別]]="削除","2",IF(テーブル14[[#This Row],[_ex2]]="","1",""))</f>
        <v>2</v>
      </c>
      <c r="R18" s="22" t="str">
        <f>IF(テーブル14[[#This Row],[変更種別]]="新規","",テーブル14[[#This Row],[id]])</f>
        <v>ac8e284b-2c6d-4c64-9193-d3c768e9d3b1</v>
      </c>
      <c r="S18" s="22" t="str">
        <f>IF(テーブル14[[#This Row],[変更種別]]="削除",
       "",
       IF(テーブル14[[#This Row],[title / 変更]]="",テーブル14[[#This Row],[title]],テーブル14[[#This Row],[title / 変更]]))</f>
        <v/>
      </c>
      <c r="T18" s="22" t="str">
        <f>IF(テーブル14[[#This Row],[変更種別]]="削除",
       "",
       IF(テーブル14[[#This Row],[url / 変更]]="",テーブル14[[#This Row],[url]],テーブル14[[#This Row],[url / 変更]]))</f>
        <v/>
      </c>
      <c r="U18" s="22" t="str">
        <f>IF(テーブル14[[#This Row],[変更種別]]="削除",
       "",
       IF(テーブル14[[#This Row],[keywords / 変更]]="",テーブル14[[#This Row],[keywords]],テーブル14[[#This Row],[keywords / 変更]]))</f>
        <v/>
      </c>
      <c r="V18" s="22" t="str">
        <f>IF(テーブル14[[#This Row],[変更種別]]="削除",
       "",
       IF(テーブル14[[#This Row],[comment]]="","",テーブル14[[#This Row],[comment]]))</f>
        <v/>
      </c>
      <c r="W18" s="22" t="str">
        <f>IF(テーブル14[[#This Row],[変更種別]]="削除",
       "",
       IF(テーブル14[[#This Row],[priority / 変更後]]="",テーブル14[[#This Row],[priority]],テーブル14[[#This Row],[priority / 変更後]]))</f>
        <v/>
      </c>
      <c r="X1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9" spans="1:24" x14ac:dyDescent="0.25">
      <c r="A19" s="20" t="s">
        <v>773</v>
      </c>
      <c r="B19" s="20" t="s">
        <v>999</v>
      </c>
      <c r="C19" s="20" t="s">
        <v>631</v>
      </c>
      <c r="D19" s="20" t="s">
        <v>630</v>
      </c>
      <c r="E19" s="20" t="s">
        <v>267</v>
      </c>
      <c r="F19" s="20" t="s">
        <v>803</v>
      </c>
      <c r="G19" s="20"/>
      <c r="H19" s="20" t="s">
        <v>999</v>
      </c>
      <c r="I19" s="21" t="s">
        <v>1181</v>
      </c>
      <c r="J19" s="21"/>
      <c r="K19" s="21"/>
      <c r="L19" s="21"/>
      <c r="M19" s="21"/>
      <c r="N19" s="21" t="s">
        <v>1192</v>
      </c>
      <c r="O19" s="21" t="s">
        <v>1193</v>
      </c>
      <c r="P19" s="22" t="str">
        <f>IF(_xlfn.CONCAT(テーブル14[[#This Row],[変更種別]:[keywords / 変更]])&lt;&gt;"","","*")</f>
        <v/>
      </c>
      <c r="Q19" s="22" t="str">
        <f>IF(テーブル14[[#This Row],[変更種別]]="削除","2",IF(テーブル14[[#This Row],[_ex2]]="","1",""))</f>
        <v>1</v>
      </c>
      <c r="R19" s="22" t="str">
        <f>IF(テーブル14[[#This Row],[変更種別]]="新規","",テーブル14[[#This Row],[id]])</f>
        <v>3650402d-6f4b-4c47-bad1-5bf5172268f4</v>
      </c>
      <c r="S19" s="22" t="str">
        <f>IF(テーブル14[[#This Row],[変更種別]]="削除",
       "",
       IF(テーブル14[[#This Row],[title / 変更]]="",テーブル14[[#This Row],[title]],テーブル14[[#This Row],[title / 変更]]))</f>
        <v>MBOの手引き</v>
      </c>
      <c r="T19" s="22" t="str">
        <f>IF(テーブル14[[#This Row],[変更種別]]="削除",
       "",
       IF(テーブル14[[#This Row],[url / 変更]]="",テーブル14[[#This Row],[url]],テーブル14[[#This Row],[url / 変更]]))</f>
        <v>https://itochucorp.sharepoint.com/sites/intra-tokpj_hr/D_LevelA3/setsumei/mbo_tebiki.pdf</v>
      </c>
      <c r="U19" s="22" t="str">
        <f>IF(テーブル14[[#This Row],[変更種別]]="削除",
       "",
       IF(テーブル14[[#This Row],[keywords / 変更]]="",テーブル14[[#This Row],[keywords]],テーブル14[[#This Row],[keywords / 変更]]))</f>
        <v>[ "変動給" ]</v>
      </c>
      <c r="V19" s="22" t="str">
        <f>IF(テーブル14[[#This Row],[変更種別]]="削除",
       "",
       IF(テーブル14[[#This Row],[comment]]="","",テーブル14[[#This Row],[comment]]))</f>
        <v/>
      </c>
      <c r="W19" s="22" t="str">
        <f>IF(テーブル14[[#This Row],[変更種別]]="削除",
       "",
       IF(テーブル14[[#This Row],[priority / 変更後]]="",テーブル14[[#This Row],[priority]],テーブル14[[#This Row],[priority / 変更後]]))</f>
        <v>3</v>
      </c>
      <c r="X1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20" spans="1:24" x14ac:dyDescent="0.25">
      <c r="A20" s="20" t="s">
        <v>773</v>
      </c>
      <c r="B20" s="20" t="s">
        <v>999</v>
      </c>
      <c r="C20" s="20" t="s">
        <v>804</v>
      </c>
      <c r="D20" s="20" t="s">
        <v>792</v>
      </c>
      <c r="E20" s="20" t="s">
        <v>793</v>
      </c>
      <c r="F20" s="20" t="s">
        <v>805</v>
      </c>
      <c r="G20" s="20"/>
      <c r="H20" s="20" t="s">
        <v>999</v>
      </c>
      <c r="I20" s="21" t="s">
        <v>1002</v>
      </c>
      <c r="J20" s="21"/>
      <c r="K20" s="21"/>
      <c r="L20" s="21"/>
      <c r="M20" s="21"/>
      <c r="N20" s="21"/>
      <c r="O20" s="21" t="s">
        <v>1009</v>
      </c>
      <c r="P20" s="22" t="str">
        <f>IF(_xlfn.CONCAT(テーブル14[[#This Row],[変更種別]:[keywords / 変更]])&lt;&gt;"","","*")</f>
        <v/>
      </c>
      <c r="Q20" s="22" t="str">
        <f>IF(テーブル14[[#This Row],[変更種別]]="削除","2",IF(テーブル14[[#This Row],[_ex2]]="","1",""))</f>
        <v>2</v>
      </c>
      <c r="R20" s="22" t="str">
        <f>IF(テーブル14[[#This Row],[変更種別]]="新規","",テーブル14[[#This Row],[id]])</f>
        <v>8f4a6fe6-af9b-4699-a072-e7faa0538068</v>
      </c>
      <c r="S20" s="22" t="str">
        <f>IF(テーブル14[[#This Row],[変更種別]]="削除",
       "",
       IF(テーブル14[[#This Row],[title / 変更]]="",テーブル14[[#This Row],[title]],テーブル14[[#This Row],[title / 変更]]))</f>
        <v/>
      </c>
      <c r="T20" s="22" t="str">
        <f>IF(テーブル14[[#This Row],[変更種別]]="削除",
       "",
       IF(テーブル14[[#This Row],[url / 変更]]="",テーブル14[[#This Row],[url]],テーブル14[[#This Row],[url / 変更]]))</f>
        <v/>
      </c>
      <c r="U20" s="22" t="str">
        <f>IF(テーブル14[[#This Row],[変更種別]]="削除",
       "",
       IF(テーブル14[[#This Row],[keywords / 変更]]="",テーブル14[[#This Row],[keywords]],テーブル14[[#This Row],[keywords / 変更]]))</f>
        <v/>
      </c>
      <c r="V20" s="22" t="str">
        <f>IF(テーブル14[[#This Row],[変更種別]]="削除",
       "",
       IF(テーブル14[[#This Row],[comment]]="","",テーブル14[[#This Row],[comment]]))</f>
        <v/>
      </c>
      <c r="W20" s="22" t="str">
        <f>IF(テーブル14[[#This Row],[変更種別]]="削除",
       "",
       IF(テーブル14[[#This Row],[priority / 変更後]]="",テーブル14[[#This Row],[priority]],テーブル14[[#This Row],[priority / 変更後]]))</f>
        <v/>
      </c>
      <c r="X2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21" spans="1:24" ht="99.75" x14ac:dyDescent="0.25">
      <c r="A21" s="20" t="s">
        <v>773</v>
      </c>
      <c r="B21" s="20" t="s">
        <v>999</v>
      </c>
      <c r="C21" s="20" t="s">
        <v>806</v>
      </c>
      <c r="D21" s="20" t="s">
        <v>807</v>
      </c>
      <c r="E21" s="20" t="s">
        <v>808</v>
      </c>
      <c r="F21" s="20" t="s">
        <v>805</v>
      </c>
      <c r="G21" s="20"/>
      <c r="H21" s="20" t="s">
        <v>999</v>
      </c>
      <c r="I21" s="21" t="s">
        <v>975</v>
      </c>
      <c r="J21" s="21" t="s">
        <v>1010</v>
      </c>
      <c r="K21" s="21" t="s">
        <v>1011</v>
      </c>
      <c r="L21" s="21"/>
      <c r="M21" s="21"/>
      <c r="N21" s="21" t="s">
        <v>1191</v>
      </c>
      <c r="O21" s="21" t="s">
        <v>1012</v>
      </c>
      <c r="P21" s="22" t="str">
        <f>IF(_xlfn.CONCAT(テーブル14[[#This Row],[変更種別]:[keywords / 変更]])&lt;&gt;"","","*")</f>
        <v/>
      </c>
      <c r="Q21" s="22" t="str">
        <f>IF(テーブル14[[#This Row],[変更種別]]="削除","2",IF(テーブル14[[#This Row],[_ex2]]="","1",""))</f>
        <v>1</v>
      </c>
      <c r="R21" s="22" t="str">
        <f>IF(テーブル14[[#This Row],[変更種別]]="新規","",テーブル14[[#This Row],[id]])</f>
        <v>2aa0c05e-9347-4406-bfb8-be5f53840421</v>
      </c>
      <c r="S21" s="22" t="str">
        <f>IF(テーブル14[[#This Row],[変更種別]]="削除",
       "",
       IF(テーブル14[[#This Row],[title / 変更]]="",テーブル14[[#This Row],[title]],テーブル14[[#This Row],[title / 変更]]))</f>
        <v>2023年度変動給支給日</v>
      </c>
      <c r="T21" s="22" t="str">
        <f>IF(テーブル14[[#This Row],[変更種別]]="削除",
       "",
       IF(テーブル14[[#This Row],[url / 変更]]="",テーブル14[[#This Row],[url]],テーブル14[[#This Row],[url / 変更]]))</f>
        <v>https://itochucorp.sharepoint.com/sites/intra-tokpj_hr/Lists/List42401/DispForm.aspx?ID=2091</v>
      </c>
      <c r="U21" s="22" t="str">
        <f>IF(テーブル14[[#This Row],[変更種別]]="削除",
       "",
       IF(テーブル14[[#This Row],[keywords / 変更]]="",テーブル14[[#This Row],[keywords]],テーブル14[[#This Row],[keywords / 変更]]))</f>
        <v>[ "変動給", "賞与", "ボーナス" ]</v>
      </c>
      <c r="V21" s="22" t="str">
        <f>IF(テーブル14[[#This Row],[変更種別]]="削除",
       "",
       IF(テーブル14[[#This Row],[comment]]="","",テーブル14[[#This Row],[comment]]))</f>
        <v/>
      </c>
      <c r="W21" s="22" t="str">
        <f>IF(テーブル14[[#This Row],[変更種別]]="削除",
       "",
       IF(テーブル14[[#This Row],[priority / 変更後]]="",テーブル14[[#This Row],[priority]],テーブル14[[#This Row],[priority / 変更後]]))</f>
        <v>2</v>
      </c>
      <c r="X2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前: 2021年度変動給支給日
　後: 2023年度変動給支給日
■ URL
　前: https://itochucorp.sharepoint.com/sites/intra-info/Lists/WhatsNew/DispForm.aspx?ID=9629
　後: https://itochucorp.sharepoint.com/sites/intra-tokpj_hr/Lists/List42401/DispForm.aspx?ID=2091
</v>
      </c>
    </row>
    <row r="22" spans="1:24" ht="99.75" x14ac:dyDescent="0.25">
      <c r="A22" s="20" t="s">
        <v>773</v>
      </c>
      <c r="B22" s="20" t="s">
        <v>999</v>
      </c>
      <c r="C22" s="20" t="s">
        <v>809</v>
      </c>
      <c r="D22" s="20" t="s">
        <v>810</v>
      </c>
      <c r="E22" s="20" t="s">
        <v>811</v>
      </c>
      <c r="F22" s="20" t="s">
        <v>805</v>
      </c>
      <c r="G22" s="20"/>
      <c r="H22" s="20" t="s">
        <v>999</v>
      </c>
      <c r="I22" s="21" t="s">
        <v>975</v>
      </c>
      <c r="J22" s="21" t="s">
        <v>1013</v>
      </c>
      <c r="K22" s="21" t="s">
        <v>1014</v>
      </c>
      <c r="L22" s="21"/>
      <c r="M22" s="21"/>
      <c r="N22" s="21" t="s">
        <v>1192</v>
      </c>
      <c r="O22" s="21" t="s">
        <v>1012</v>
      </c>
      <c r="P22" s="22" t="str">
        <f>IF(_xlfn.CONCAT(テーブル14[[#This Row],[変更種別]:[keywords / 変更]])&lt;&gt;"","","*")</f>
        <v/>
      </c>
      <c r="Q22" s="22" t="str">
        <f>IF(テーブル14[[#This Row],[変更種別]]="削除","2",IF(テーブル14[[#This Row],[_ex2]]="","1",""))</f>
        <v>1</v>
      </c>
      <c r="R22" s="22" t="str">
        <f>IF(テーブル14[[#This Row],[変更種別]]="新規","",テーブル14[[#This Row],[id]])</f>
        <v>027418a6-5160-4140-aa87-bf7d3f285d40</v>
      </c>
      <c r="S22" s="22" t="str">
        <f>IF(テーブル14[[#This Row],[変更種別]]="削除",
       "",
       IF(テーブル14[[#This Row],[title / 変更]]="",テーブル14[[#This Row],[title]],テーブル14[[#This Row],[title / 変更]]))</f>
        <v>2023年6月度 変動給賦課の精算について</v>
      </c>
      <c r="T22" s="22" t="str">
        <f>IF(テーブル14[[#This Row],[変更種別]]="削除",
       "",
       IF(テーブル14[[#This Row],[url / 変更]]="",テーブル14[[#This Row],[url]],テーブル14[[#This Row],[url / 変更]]))</f>
        <v>https://itochucorp.sharepoint.com/sites/intra-tokpj_hr/Lists/List42401/Attachments/2134/人総連第23-14号_2023年6月度変動給賦課の精算について.pdf</v>
      </c>
      <c r="U22" s="22" t="str">
        <f>IF(テーブル14[[#This Row],[変更種別]]="削除",
       "",
       IF(テーブル14[[#This Row],[keywords / 変更]]="",テーブル14[[#This Row],[keywords]],テーブル14[[#This Row],[keywords / 変更]]))</f>
        <v>[ "変動給", "賞与", "ボーナス" ]</v>
      </c>
      <c r="V22" s="22" t="str">
        <f>IF(テーブル14[[#This Row],[変更種別]]="削除",
       "",
       IF(テーブル14[[#This Row],[comment]]="","",テーブル14[[#This Row],[comment]]))</f>
        <v/>
      </c>
      <c r="W22" s="22" t="str">
        <f>IF(テーブル14[[#This Row],[変更種別]]="削除",
       "",
       IF(テーブル14[[#This Row],[priority / 変更後]]="",テーブル14[[#This Row],[priority]],テーブル14[[#This Row],[priority / 変更後]]))</f>
        <v>3</v>
      </c>
      <c r="X2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前: 2020年度変動給賦課について
　後: 2023年6月度 変動給賦課の精算について
■ URL
　前: https://itochucorp.sharepoint.com/sites/intra-tokpj_hr/D_LevelA3/setsumei/人総連第19-48号 2020年1月度からの変動給賦課について.pdf
　後: https://itochucorp.sharepoint.com/sites/intra-tokpj_hr/Lists/List42401/Attachments/2134/人総連第23-14号_2023年6月度変動給賦課の精算について.pdf
</v>
      </c>
    </row>
    <row r="23" spans="1:24" x14ac:dyDescent="0.25">
      <c r="A23" s="20" t="s">
        <v>773</v>
      </c>
      <c r="B23" s="20" t="s">
        <v>999</v>
      </c>
      <c r="C23" s="20" t="s">
        <v>812</v>
      </c>
      <c r="D23" s="20" t="s">
        <v>813</v>
      </c>
      <c r="E23" s="20" t="s">
        <v>267</v>
      </c>
      <c r="F23" s="20" t="s">
        <v>805</v>
      </c>
      <c r="G23" s="20"/>
      <c r="H23" s="20" t="s">
        <v>999</v>
      </c>
      <c r="I23" s="21" t="s">
        <v>1002</v>
      </c>
      <c r="J23" s="21"/>
      <c r="K23" s="21"/>
      <c r="L23" s="21"/>
      <c r="M23" s="21"/>
      <c r="N23" s="21"/>
      <c r="O23" s="21" t="s">
        <v>1015</v>
      </c>
      <c r="P23" s="22" t="str">
        <f>IF(_xlfn.CONCAT(テーブル14[[#This Row],[変更種別]:[keywords / 変更]])&lt;&gt;"","","*")</f>
        <v/>
      </c>
      <c r="Q23" s="22" t="str">
        <f>IF(テーブル14[[#This Row],[変更種別]]="削除","2",IF(テーブル14[[#This Row],[_ex2]]="","1",""))</f>
        <v>2</v>
      </c>
      <c r="R23" s="22" t="str">
        <f>IF(テーブル14[[#This Row],[変更種別]]="新規","",テーブル14[[#This Row],[id]])</f>
        <v>710e4141-658f-4aad-84e0-c9f5175b2f1e</v>
      </c>
      <c r="S23" s="22" t="str">
        <f>IF(テーブル14[[#This Row],[変更種別]]="削除",
       "",
       IF(テーブル14[[#This Row],[title / 変更]]="",テーブル14[[#This Row],[title]],テーブル14[[#This Row],[title / 変更]]))</f>
        <v/>
      </c>
      <c r="T23" s="22" t="str">
        <f>IF(テーブル14[[#This Row],[変更種別]]="削除",
       "",
       IF(テーブル14[[#This Row],[url / 変更]]="",テーブル14[[#This Row],[url]],テーブル14[[#This Row],[url / 変更]]))</f>
        <v/>
      </c>
      <c r="U23" s="22" t="str">
        <f>IF(テーブル14[[#This Row],[変更種別]]="削除",
       "",
       IF(テーブル14[[#This Row],[keywords / 変更]]="",テーブル14[[#This Row],[keywords]],テーブル14[[#This Row],[keywords / 変更]]))</f>
        <v/>
      </c>
      <c r="V23" s="22" t="str">
        <f>IF(テーブル14[[#This Row],[変更種別]]="削除",
       "",
       IF(テーブル14[[#This Row],[comment]]="","",テーブル14[[#This Row],[comment]]))</f>
        <v/>
      </c>
      <c r="W23" s="22" t="str">
        <f>IF(テーブル14[[#This Row],[変更種別]]="削除",
       "",
       IF(テーブル14[[#This Row],[priority / 変更後]]="",テーブル14[[#This Row],[priority]],テーブル14[[#This Row],[priority / 変更後]]))</f>
        <v/>
      </c>
      <c r="X2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24" spans="1:24" ht="99.75" x14ac:dyDescent="0.25">
      <c r="A24" s="20" t="s">
        <v>773</v>
      </c>
      <c r="B24" s="20" t="s">
        <v>999</v>
      </c>
      <c r="C24" s="20" t="s">
        <v>814</v>
      </c>
      <c r="D24" s="20" t="s">
        <v>815</v>
      </c>
      <c r="E24" s="20" t="s">
        <v>816</v>
      </c>
      <c r="F24" s="20" t="s">
        <v>817</v>
      </c>
      <c r="G24" s="20"/>
      <c r="H24" s="20" t="s">
        <v>999</v>
      </c>
      <c r="I24" s="21" t="s">
        <v>975</v>
      </c>
      <c r="J24" s="21" t="s">
        <v>1016</v>
      </c>
      <c r="K24" s="21" t="s">
        <v>1017</v>
      </c>
      <c r="L24" s="21"/>
      <c r="M24" s="21"/>
      <c r="N24" s="21" t="s">
        <v>1189</v>
      </c>
      <c r="O24" s="21" t="s">
        <v>1012</v>
      </c>
      <c r="P24" s="22" t="str">
        <f>IF(_xlfn.CONCAT(テーブル14[[#This Row],[変更種別]:[keywords / 変更]])&lt;&gt;"","","*")</f>
        <v/>
      </c>
      <c r="Q24" s="22" t="str">
        <f>IF(テーブル14[[#This Row],[変更種別]]="削除","2",IF(テーブル14[[#This Row],[_ex2]]="","1",""))</f>
        <v>1</v>
      </c>
      <c r="R24" s="22" t="str">
        <f>IF(テーブル14[[#This Row],[変更種別]]="新規","",テーブル14[[#This Row],[id]])</f>
        <v>3ecabf03-eb55-4b05-8f7f-80b64b75d305</v>
      </c>
      <c r="S24" s="22" t="str">
        <f>IF(テーブル14[[#This Row],[変更種別]]="削除",
       "",
       IF(テーブル14[[#This Row],[title / 変更]]="",テーブル14[[#This Row],[title]],テーブル14[[#This Row],[title / 変更]]))</f>
        <v>2023年度 リフレッシュ休暇について</v>
      </c>
      <c r="T24" s="22" t="str">
        <f>IF(テーブル14[[#This Row],[変更種別]]="削除",
       "",
       IF(テーブル14[[#This Row],[url / 変更]]="",テーブル14[[#This Row],[url]],テーブル14[[#This Row],[url / 変更]]))</f>
        <v>https://itochucorp.sharepoint.com/sites/intra-tokpj_hr/Lists/List42401/DispForm.aspx?ID=2087</v>
      </c>
      <c r="U24" s="22" t="str">
        <f>IF(テーブル14[[#This Row],[変更種別]]="削除",
       "",
       IF(テーブル14[[#This Row],[keywords / 変更]]="",テーブル14[[#This Row],[keywords]],テーブル14[[#This Row],[keywords / 変更]]))</f>
        <v>[ "リフレッシュ休暇", "リフレッシュ", "勤続" ]</v>
      </c>
      <c r="V24" s="22" t="str">
        <f>IF(テーブル14[[#This Row],[変更種別]]="削除",
       "",
       IF(テーブル14[[#This Row],[comment]]="","",テーブル14[[#This Row],[comment]]))</f>
        <v/>
      </c>
      <c r="W24" s="22" t="str">
        <f>IF(テーブル14[[#This Row],[変更種別]]="削除",
       "",
       IF(テーブル14[[#This Row],[priority / 変更後]]="",テーブル14[[#This Row],[priority]],テーブル14[[#This Row],[priority / 変更後]]))</f>
        <v>1</v>
      </c>
      <c r="X2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前: 人総連　2020年度リフレッシュ休暇の件
　後: 2023年度 リフレッシュ休暇について
■ URL
　前: https://itochucorp.sharepoint.com/sites/intra-tokpj_hr/Lists/List42401/DispForm.aspx?ID=1437
　後: https://itochucorp.sharepoint.com/sites/intra-tokpj_hr/Lists/List42401/DispForm.aspx?ID=2087
</v>
      </c>
    </row>
    <row r="25" spans="1:24" x14ac:dyDescent="0.25">
      <c r="A25" s="20" t="s">
        <v>773</v>
      </c>
      <c r="B25" s="20" t="s">
        <v>999</v>
      </c>
      <c r="C25" s="20" t="s">
        <v>359</v>
      </c>
      <c r="D25" s="20" t="s">
        <v>357</v>
      </c>
      <c r="E25" s="20" t="s">
        <v>358</v>
      </c>
      <c r="F25" s="20" t="s">
        <v>818</v>
      </c>
      <c r="G25" s="20"/>
      <c r="H25" s="20" t="s">
        <v>999</v>
      </c>
      <c r="I25" s="21" t="s">
        <v>1181</v>
      </c>
      <c r="J25" s="21"/>
      <c r="K25" s="21"/>
      <c r="L25" s="21"/>
      <c r="M25" s="21"/>
      <c r="N25" s="21" t="s">
        <v>1192</v>
      </c>
      <c r="O25" s="21" t="s">
        <v>1193</v>
      </c>
      <c r="P25" s="22" t="str">
        <f>IF(_xlfn.CONCAT(テーブル14[[#This Row],[変更種別]:[keywords / 変更]])&lt;&gt;"","","*")</f>
        <v/>
      </c>
      <c r="Q25" s="22" t="str">
        <f>IF(テーブル14[[#This Row],[変更種別]]="削除","2",IF(テーブル14[[#This Row],[_ex2]]="","1",""))</f>
        <v>1</v>
      </c>
      <c r="R25" s="22" t="str">
        <f>IF(テーブル14[[#This Row],[変更種別]]="新規","",テーブル14[[#This Row],[id]])</f>
        <v>38f7db03-62e2-4f56-953d-ea55be356193</v>
      </c>
      <c r="S25" s="22" t="str">
        <f>IF(テーブル14[[#This Row],[変更種別]]="削除",
       "",
       IF(テーブル14[[#This Row],[title / 変更]]="",テーブル14[[#This Row],[title]],テーブル14[[#This Row],[title / 変更]]))</f>
        <v>時間管理・朝型勤務</v>
      </c>
      <c r="T25" s="22" t="str">
        <f>IF(テーブル14[[#This Row],[変更種別]]="削除",
       "",
       IF(テーブル14[[#This Row],[url / 変更]]="",テーブル14[[#This Row],[url]],テーブル14[[#This Row],[url / 変更]]))</f>
        <v>https://itochucorp.sharepoint.com/sites/intra-tokpj_hr/SitePages/jikan/朝型勤務の進化（含む時間管理）.aspx</v>
      </c>
      <c r="U25" s="22" t="str">
        <f>IF(テーブル14[[#This Row],[変更種別]]="削除",
       "",
       IF(テーブル14[[#This Row],[keywords / 変更]]="",テーブル14[[#This Row],[keywords]],テーブル14[[#This Row],[keywords / 変更]]))</f>
        <v>[ "休暇", "休み", "時間管理", "勤務簿", "朝方勤務" ]</v>
      </c>
      <c r="V25" s="22" t="str">
        <f>IF(テーブル14[[#This Row],[変更種別]]="削除",
       "",
       IF(テーブル14[[#This Row],[comment]]="","",テーブル14[[#This Row],[comment]]))</f>
        <v/>
      </c>
      <c r="W25" s="22" t="str">
        <f>IF(テーブル14[[#This Row],[変更種別]]="削除",
       "",
       IF(テーブル14[[#This Row],[priority / 変更後]]="",テーブル14[[#This Row],[priority]],テーブル14[[#This Row],[priority / 変更後]]))</f>
        <v>3</v>
      </c>
      <c r="X2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26" spans="1:24" x14ac:dyDescent="0.25">
      <c r="A26" s="20" t="s">
        <v>773</v>
      </c>
      <c r="B26" s="20" t="s">
        <v>999</v>
      </c>
      <c r="C26" s="20" t="s">
        <v>97</v>
      </c>
      <c r="D26" s="20" t="s">
        <v>95</v>
      </c>
      <c r="E26" s="20" t="s">
        <v>96</v>
      </c>
      <c r="F26" s="20" t="s">
        <v>819</v>
      </c>
      <c r="G26" s="20"/>
      <c r="H26" s="20" t="s">
        <v>999</v>
      </c>
      <c r="I26" s="21" t="s">
        <v>1002</v>
      </c>
      <c r="J26" s="21"/>
      <c r="K26" s="21"/>
      <c r="L26" s="21"/>
      <c r="M26" s="21"/>
      <c r="N26" s="21"/>
      <c r="O26" s="21" t="s">
        <v>1018</v>
      </c>
      <c r="P26" s="22" t="str">
        <f>IF(_xlfn.CONCAT(テーブル14[[#This Row],[変更種別]:[keywords / 変更]])&lt;&gt;"","","*")</f>
        <v/>
      </c>
      <c r="Q26" s="22" t="str">
        <f>IF(テーブル14[[#This Row],[変更種別]]="削除","2",IF(テーブル14[[#This Row],[_ex2]]="","1",""))</f>
        <v>2</v>
      </c>
      <c r="R26" s="22" t="str">
        <f>IF(テーブル14[[#This Row],[変更種別]]="新規","",テーブル14[[#This Row],[id]])</f>
        <v>ec6226ec-d7a1-49a6-b3cc-31922256eb56</v>
      </c>
      <c r="S26" s="22" t="str">
        <f>IF(テーブル14[[#This Row],[変更種別]]="削除",
       "",
       IF(テーブル14[[#This Row],[title / 変更]]="",テーブル14[[#This Row],[title]],テーブル14[[#This Row],[title / 変更]]))</f>
        <v/>
      </c>
      <c r="T26" s="22" t="str">
        <f>IF(テーブル14[[#This Row],[変更種別]]="削除",
       "",
       IF(テーブル14[[#This Row],[url / 変更]]="",テーブル14[[#This Row],[url]],テーブル14[[#This Row],[url / 変更]]))</f>
        <v/>
      </c>
      <c r="U26" s="22" t="str">
        <f>IF(テーブル14[[#This Row],[変更種別]]="削除",
       "",
       IF(テーブル14[[#This Row],[keywords / 変更]]="",テーブル14[[#This Row],[keywords]],テーブル14[[#This Row],[keywords / 変更]]))</f>
        <v/>
      </c>
      <c r="V26" s="22" t="str">
        <f>IF(テーブル14[[#This Row],[変更種別]]="削除",
       "",
       IF(テーブル14[[#This Row],[comment]]="","",テーブル14[[#This Row],[comment]]))</f>
        <v/>
      </c>
      <c r="W26" s="22" t="str">
        <f>IF(テーブル14[[#This Row],[変更種別]]="削除",
       "",
       IF(テーブル14[[#This Row],[priority / 変更後]]="",テーブル14[[#This Row],[priority]],テーブル14[[#This Row],[priority / 変更後]]))</f>
        <v/>
      </c>
      <c r="X2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27" spans="1:24" ht="85.5" x14ac:dyDescent="0.25">
      <c r="A27" s="20" t="s">
        <v>773</v>
      </c>
      <c r="B27" s="20" t="s">
        <v>999</v>
      </c>
      <c r="C27" s="20" t="s">
        <v>82</v>
      </c>
      <c r="D27" s="20" t="s">
        <v>80</v>
      </c>
      <c r="E27" s="20" t="s">
        <v>81</v>
      </c>
      <c r="F27" s="20" t="s">
        <v>820</v>
      </c>
      <c r="G27" s="20"/>
      <c r="H27" s="20" t="s">
        <v>999</v>
      </c>
      <c r="I27" s="21" t="s">
        <v>975</v>
      </c>
      <c r="J27" s="21"/>
      <c r="K27" s="21"/>
      <c r="L27" s="21" t="s">
        <v>1019</v>
      </c>
      <c r="M27" s="21"/>
      <c r="N27" s="21" t="s">
        <v>1189</v>
      </c>
      <c r="O27" s="21"/>
      <c r="P27" s="22" t="str">
        <f>IF(_xlfn.CONCAT(テーブル14[[#This Row],[変更種別]:[keywords / 変更]])&lt;&gt;"","","*")</f>
        <v/>
      </c>
      <c r="Q27" s="22" t="str">
        <f>IF(テーブル14[[#This Row],[変更種別]]="削除","2",IF(テーブル14[[#This Row],[_ex2]]="","1",""))</f>
        <v>1</v>
      </c>
      <c r="R27" s="22" t="str">
        <f>IF(テーブル14[[#This Row],[変更種別]]="新規","",テーブル14[[#This Row],[id]])</f>
        <v>41f269c0-d045-4994-87fb-008d7b0a6a0f</v>
      </c>
      <c r="S27" s="22" t="str">
        <f>IF(テーブル14[[#This Row],[変更種別]]="削除",
       "",
       IF(テーブル14[[#This Row],[title / 変更]]="",テーブル14[[#This Row],[title]],テーブル14[[#This Row],[title / 変更]]))</f>
        <v>ＩＤ統合管理システム</v>
      </c>
      <c r="T27" s="22" t="str">
        <f>IF(テーブル14[[#This Row],[変更種別]]="削除",
       "",
       IF(テーブル14[[#This Row],[url / 変更]]="",テーブル14[[#This Row],[url]],テーブル14[[#This Row],[url / 変更]]))</f>
        <v>http://sign.intra.itochu.co.jp/itcwf/home</v>
      </c>
      <c r="U27" s="22" t="str">
        <f>IF(テーブル14[[#This Row],[変更種別]]="削除",
       "",
       IF(テーブル14[[#This Row],[keywords / 変更]]="",テーブル14[[#This Row],[keywords]],テーブル14[[#This Row],[keywords / 変更]]))</f>
        <v>[ "idm", "ｉｄｍ", "id統合", "ｉｄ統合", "id統合管理", "ｉｄ統合管理", "id統合管理システム", "ｉｄ統合管理システム", "機構変更", "機変", "基本id", "基本ｉｄ", "無線LAN", "メール継続利用", "社員外ユーザー", "id登録", "ｉｄ登録", "id申請", "ｉｄ申請", "個別システム", "メールアドレス", "氏名変更", "案件", "利用停止", "受講免除", "延長申請", "組織権限", "権限委譲", "承認者", "個人宛て", "委譲設定", "申請案件" ]</v>
      </c>
      <c r="V27" s="22" t="str">
        <f>IF(テーブル14[[#This Row],[変更種別]]="削除",
       "",
       IF(テーブル14[[#This Row],[comment]]="","",テーブル14[[#This Row],[comment]]))</f>
        <v/>
      </c>
      <c r="W27" s="22" t="str">
        <f>IF(テーブル14[[#This Row],[変更種別]]="削除",
       "",
       IF(テーブル14[[#This Row],[priority / 変更後]]="",テーブル14[[#This Row],[priority]],テーブル14[[#This Row],[priority / 変更後]]))</f>
        <v>1</v>
      </c>
      <c r="X2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"ＩＤＭ", "IDM", "ＩＤ統合", "ID統合", "ＩＤ統合管理", "ID統合管理", "ＩＤ統合管理システム", "ID統合管理システム", "機構変更", "機変", "基本ID", "無線LAN", "メール継続利用", "社員外ユーザー", "ID登録", "ID申請", "個別システム", "メールアドレス", "氏名変更", "案件", "利用停止", "受講免除", "延長申請", "組織権限", "権限委譲", "承認者", "個人宛て", "委譲設定", "申請案件" ]
　後: [ "idm", "ｉｄｍ", "id統合", "ｉｄ統合", "id統合管理", "ｉｄ統合管理", "id統合管理システム", "ｉｄ統合管理システム", "機構変更", "機変", "基本id", "基本ｉｄ", "無線LAN", "メール継続利用", "社員外ユーザー", "id登録", "ｉｄ登録", "id申請", "ｉｄ申請", "個別システム", "メールアドレス", "氏名変更", "案件", "利用停止", "受講免除", "延長申請", "組織権限", "権限委譲", "承認者", "個人宛て", "委譲設定", "申請案件" ]
</v>
      </c>
    </row>
    <row r="28" spans="1:24" ht="85.5" x14ac:dyDescent="0.25">
      <c r="A28" s="20" t="s">
        <v>773</v>
      </c>
      <c r="B28" s="20" t="s">
        <v>999</v>
      </c>
      <c r="C28" s="20" t="s">
        <v>79</v>
      </c>
      <c r="D28" s="20" t="s">
        <v>77</v>
      </c>
      <c r="E28" s="20" t="s">
        <v>78</v>
      </c>
      <c r="F28" s="20" t="s">
        <v>820</v>
      </c>
      <c r="G28" s="20"/>
      <c r="H28" s="20" t="s">
        <v>999</v>
      </c>
      <c r="I28" s="21" t="s">
        <v>975</v>
      </c>
      <c r="J28" s="21"/>
      <c r="K28" s="21"/>
      <c r="L28" s="21" t="s">
        <v>1019</v>
      </c>
      <c r="M28" s="21"/>
      <c r="N28" s="21" t="s">
        <v>1191</v>
      </c>
      <c r="O28" s="21"/>
      <c r="P28" s="22" t="str">
        <f>IF(_xlfn.CONCAT(テーブル14[[#This Row],[変更種別]:[keywords / 変更]])&lt;&gt;"","","*")</f>
        <v/>
      </c>
      <c r="Q28" s="22" t="str">
        <f>IF(テーブル14[[#This Row],[変更種別]]="削除","2",IF(テーブル14[[#This Row],[_ex2]]="","1",""))</f>
        <v>1</v>
      </c>
      <c r="R28" s="22" t="str">
        <f>IF(テーブル14[[#This Row],[変更種別]]="新規","",テーブル14[[#This Row],[id]])</f>
        <v>ad2c1426-85d9-4c29-969b-3c63b1e145d0</v>
      </c>
      <c r="S28" s="22" t="str">
        <f>IF(テーブル14[[#This Row],[変更種別]]="削除",
       "",
       IF(テーブル14[[#This Row],[title / 変更]]="",テーブル14[[#This Row],[title]],テーブル14[[#This Row],[title / 変更]]))</f>
        <v>ＩＤ統合管理システム FAQ</v>
      </c>
      <c r="T28" s="22" t="str">
        <f>IF(テーブル14[[#This Row],[変更種別]]="削除",
       "",
       IF(テーブル14[[#This Row],[url / 変更]]="",テーブル14[[#This Row],[url]],テーブル14[[#This Row],[url / 変更]]))</f>
        <v>http://sign.intra.itochu.co.jp/itcwf/menu/common/menu_sender/IDM_MI_FAQ</v>
      </c>
      <c r="U28" s="22" t="str">
        <f>IF(テーブル14[[#This Row],[変更種別]]="削除",
       "",
       IF(テーブル14[[#This Row],[keywords / 変更]]="",テーブル14[[#This Row],[keywords]],テーブル14[[#This Row],[keywords / 変更]]))</f>
        <v>[ "idm", "ｉｄｍ", "id統合", "ｉｄ統合", "id統合管理", "ｉｄ統合管理", "id統合管理システム", "ｉｄ統合管理システム", "機構変更", "機変", "基本id", "基本ｉｄ", "無線LAN", "メール継続利用", "社員外ユーザー", "id登録", "ｉｄ登録", "id申請", "ｉｄ申請", "個別システム", "メールアドレス", "氏名変更", "案件", "利用停止", "受講免除", "延長申請", "組織権限", "権限委譲", "承認者", "個人宛て", "委譲設定", "申請案件" ]</v>
      </c>
      <c r="V28" s="22" t="str">
        <f>IF(テーブル14[[#This Row],[変更種別]]="削除",
       "",
       IF(テーブル14[[#This Row],[comment]]="","",テーブル14[[#This Row],[comment]]))</f>
        <v/>
      </c>
      <c r="W28" s="22" t="str">
        <f>IF(テーブル14[[#This Row],[変更種別]]="削除",
       "",
       IF(テーブル14[[#This Row],[priority / 変更後]]="",テーブル14[[#This Row],[priority]],テーブル14[[#This Row],[priority / 変更後]]))</f>
        <v>2</v>
      </c>
      <c r="X2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"ＩＤＭ", "IDM", "ＩＤ統合", "ID統合", "ＩＤ統合管理", "ID統合管理", "ＩＤ統合管理システム", "ID統合管理システム", "機構変更", "機変", "基本ID", "無線LAN", "メール継続利用", "社員外ユーザー", "ID登録", "ID申請", "個別システム", "メールアドレス", "氏名変更", "案件", "利用停止", "受講免除", "延長申請", "組織権限", "権限委譲", "承認者", "個人宛て", "委譲設定", "申請案件" ]
　後: [ "idm", "ｉｄｍ", "id統合", "ｉｄ統合", "id統合管理", "ｉｄ統合管理", "id統合管理システム", "ｉｄ統合管理システム", "機構変更", "機変", "基本id", "基本ｉｄ", "無線LAN", "メール継続利用", "社員外ユーザー", "id登録", "ｉｄ登録", "id申請", "ｉｄ申請", "個別システム", "メールアドレス", "氏名変更", "案件", "利用停止", "受講免除", "延長申請", "組織権限", "権限委譲", "承認者", "個人宛て", "委譲設定", "申請案件" ]
</v>
      </c>
    </row>
    <row r="29" spans="1:24" x14ac:dyDescent="0.25">
      <c r="A29" s="20" t="s">
        <v>773</v>
      </c>
      <c r="B29" s="20" t="s">
        <v>999</v>
      </c>
      <c r="C29" s="20" t="s">
        <v>499</v>
      </c>
      <c r="D29" s="20" t="s">
        <v>497</v>
      </c>
      <c r="E29" s="20" t="s">
        <v>498</v>
      </c>
      <c r="F29" s="20" t="s">
        <v>821</v>
      </c>
      <c r="G29" s="20"/>
      <c r="H29" s="20" t="s">
        <v>999</v>
      </c>
      <c r="I29" s="21" t="s">
        <v>1181</v>
      </c>
      <c r="J29" s="21"/>
      <c r="K29" s="21"/>
      <c r="L29" s="21"/>
      <c r="M29" s="21"/>
      <c r="N29" s="21" t="s">
        <v>1192</v>
      </c>
      <c r="O29" s="21" t="s">
        <v>1193</v>
      </c>
      <c r="P29" s="22" t="str">
        <f>IF(_xlfn.CONCAT(テーブル14[[#This Row],[変更種別]:[keywords / 変更]])&lt;&gt;"","","*")</f>
        <v/>
      </c>
      <c r="Q29" s="22" t="str">
        <f>IF(テーブル14[[#This Row],[変更種別]]="削除","2",IF(テーブル14[[#This Row],[_ex2]]="","1",""))</f>
        <v>1</v>
      </c>
      <c r="R29" s="22" t="str">
        <f>IF(テーブル14[[#This Row],[変更種別]]="新規","",テーブル14[[#This Row],[id]])</f>
        <v>90e1d061-b324-4cd6-abcb-d6fe0e38e83a</v>
      </c>
      <c r="S29" s="22" t="str">
        <f>IF(テーブル14[[#This Row],[変更種別]]="削除",
       "",
       IF(テーブル14[[#This Row],[title / 変更]]="",テーブル14[[#This Row],[title]],テーブル14[[#This Row],[title / 変更]]))</f>
        <v>添付型 FAQ</v>
      </c>
      <c r="T29" s="22" t="str">
        <f>IF(テーブル14[[#This Row],[変更種別]]="削除",
       "",
       IF(テーブル14[[#This Row],[url / 変更]]="",テーブル14[[#This Row],[url]],テーブル14[[#This Row],[url / 変更]]))</f>
        <v>http://sign.intra.itochu.co.jp/itcwf/menu/common/menu_sender/TPW_MI_FAQ</v>
      </c>
      <c r="U29" s="22" t="str">
        <f>IF(テーブル14[[#This Row],[変更種別]]="削除",
       "",
       IF(テーブル14[[#This Row],[keywords / 変更]]="",テーブル14[[#This Row],[keywords]],テーブル14[[#This Row],[keywords / 変更]]))</f>
        <v>[ "添付型", "添付型汎用申請", "申請案件" ]</v>
      </c>
      <c r="V29" s="22" t="str">
        <f>IF(テーブル14[[#This Row],[変更種別]]="削除",
       "",
       IF(テーブル14[[#This Row],[comment]]="","",テーブル14[[#This Row],[comment]]))</f>
        <v/>
      </c>
      <c r="W29" s="22" t="str">
        <f>IF(テーブル14[[#This Row],[変更種別]]="削除",
       "",
       IF(テーブル14[[#This Row],[priority / 変更後]]="",テーブル14[[#This Row],[priority]],テーブル14[[#This Row],[priority / 変更後]]))</f>
        <v>3</v>
      </c>
      <c r="X2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0" spans="1:24" x14ac:dyDescent="0.25">
      <c r="A30" s="20" t="s">
        <v>773</v>
      </c>
      <c r="B30" s="20" t="s">
        <v>999</v>
      </c>
      <c r="C30" s="20" t="s">
        <v>285</v>
      </c>
      <c r="D30" s="20" t="s">
        <v>283</v>
      </c>
      <c r="E30" s="20" t="s">
        <v>284</v>
      </c>
      <c r="F30" s="20" t="s">
        <v>822</v>
      </c>
      <c r="G30" s="20"/>
      <c r="H30" s="20" t="s">
        <v>999</v>
      </c>
      <c r="I30" s="21" t="s">
        <v>1002</v>
      </c>
      <c r="J30" s="21"/>
      <c r="K30" s="21"/>
      <c r="L30" s="21"/>
      <c r="M30" s="21"/>
      <c r="N30" s="21"/>
      <c r="O30" s="21"/>
      <c r="P30" s="22" t="str">
        <f>IF(_xlfn.CONCAT(テーブル14[[#This Row],[変更種別]:[keywords / 変更]])&lt;&gt;"","","*")</f>
        <v/>
      </c>
      <c r="Q30" s="22" t="str">
        <f>IF(テーブル14[[#This Row],[変更種別]]="削除","2",IF(テーブル14[[#This Row],[_ex2]]="","1",""))</f>
        <v>2</v>
      </c>
      <c r="R30" s="22" t="str">
        <f>IF(テーブル14[[#This Row],[変更種別]]="新規","",テーブル14[[#This Row],[id]])</f>
        <v>70be4461-a809-4d81-9456-8d9ece90fb19</v>
      </c>
      <c r="S30" s="22" t="str">
        <f>IF(テーブル14[[#This Row],[変更種別]]="削除",
       "",
       IF(テーブル14[[#This Row],[title / 変更]]="",テーブル14[[#This Row],[title]],テーブル14[[#This Row],[title / 変更]]))</f>
        <v/>
      </c>
      <c r="T30" s="22" t="str">
        <f>IF(テーブル14[[#This Row],[変更種別]]="削除",
       "",
       IF(テーブル14[[#This Row],[url / 変更]]="",テーブル14[[#This Row],[url]],テーブル14[[#This Row],[url / 変更]]))</f>
        <v/>
      </c>
      <c r="U30" s="22" t="str">
        <f>IF(テーブル14[[#This Row],[変更種別]]="削除",
       "",
       IF(テーブル14[[#This Row],[keywords / 変更]]="",テーブル14[[#This Row],[keywords]],テーブル14[[#This Row],[keywords / 変更]]))</f>
        <v/>
      </c>
      <c r="V30" s="22" t="str">
        <f>IF(テーブル14[[#This Row],[変更種別]]="削除",
       "",
       IF(テーブル14[[#This Row],[comment]]="","",テーブル14[[#This Row],[comment]]))</f>
        <v/>
      </c>
      <c r="W30" s="22" t="str">
        <f>IF(テーブル14[[#This Row],[変更種別]]="削除",
       "",
       IF(テーブル14[[#This Row],[priority / 変更後]]="",テーブル14[[#This Row],[priority]],テーブル14[[#This Row],[priority / 変更後]]))</f>
        <v/>
      </c>
      <c r="X3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1" spans="1:24" x14ac:dyDescent="0.25">
      <c r="A31" s="20" t="s">
        <v>773</v>
      </c>
      <c r="B31" s="20" t="s">
        <v>999</v>
      </c>
      <c r="C31" s="20" t="s">
        <v>282</v>
      </c>
      <c r="D31" s="20" t="s">
        <v>281</v>
      </c>
      <c r="E31" s="20" t="s">
        <v>96</v>
      </c>
      <c r="F31" s="20" t="s">
        <v>822</v>
      </c>
      <c r="G31" s="20"/>
      <c r="H31" s="20" t="s">
        <v>999</v>
      </c>
      <c r="I31" s="21" t="s">
        <v>1002</v>
      </c>
      <c r="J31" s="21"/>
      <c r="K31" s="21"/>
      <c r="L31" s="21"/>
      <c r="M31" s="21"/>
      <c r="N31" s="21"/>
      <c r="O31" s="21"/>
      <c r="P31" s="22" t="str">
        <f>IF(_xlfn.CONCAT(テーブル14[[#This Row],[変更種別]:[keywords / 変更]])&lt;&gt;"","","*")</f>
        <v/>
      </c>
      <c r="Q31" s="22" t="str">
        <f>IF(テーブル14[[#This Row],[変更種別]]="削除","2",IF(テーブル14[[#This Row],[_ex2]]="","1",""))</f>
        <v>2</v>
      </c>
      <c r="R31" s="22" t="str">
        <f>IF(テーブル14[[#This Row],[変更種別]]="新規","",テーブル14[[#This Row],[id]])</f>
        <v>91eb6de7-ede8-48d8-a098-5afb68f143c2</v>
      </c>
      <c r="S31" s="22" t="str">
        <f>IF(テーブル14[[#This Row],[変更種別]]="削除",
       "",
       IF(テーブル14[[#This Row],[title / 変更]]="",テーブル14[[#This Row],[title]],テーブル14[[#This Row],[title / 変更]]))</f>
        <v/>
      </c>
      <c r="T31" s="22" t="str">
        <f>IF(テーブル14[[#This Row],[変更種別]]="削除",
       "",
       IF(テーブル14[[#This Row],[url / 変更]]="",テーブル14[[#This Row],[url]],テーブル14[[#This Row],[url / 変更]]))</f>
        <v/>
      </c>
      <c r="U31" s="22" t="str">
        <f>IF(テーブル14[[#This Row],[変更種別]]="削除",
       "",
       IF(テーブル14[[#This Row],[keywords / 変更]]="",テーブル14[[#This Row],[keywords]],テーブル14[[#This Row],[keywords / 変更]]))</f>
        <v/>
      </c>
      <c r="V31" s="22" t="str">
        <f>IF(テーブル14[[#This Row],[変更種別]]="削除",
       "",
       IF(テーブル14[[#This Row],[comment]]="","",テーブル14[[#This Row],[comment]]))</f>
        <v/>
      </c>
      <c r="W31" s="22" t="str">
        <f>IF(テーブル14[[#This Row],[変更種別]]="削除",
       "",
       IF(テーブル14[[#This Row],[priority / 変更後]]="",テーブル14[[#This Row],[priority]],テーブル14[[#This Row],[priority / 変更後]]))</f>
        <v/>
      </c>
      <c r="X3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2" spans="1:24" x14ac:dyDescent="0.25">
      <c r="A32" s="20" t="s">
        <v>773</v>
      </c>
      <c r="B32" s="20" t="s">
        <v>999</v>
      </c>
      <c r="C32" s="20" t="s">
        <v>823</v>
      </c>
      <c r="D32" s="20" t="s">
        <v>824</v>
      </c>
      <c r="E32" s="20" t="s">
        <v>825</v>
      </c>
      <c r="F32" s="20" t="s">
        <v>826</v>
      </c>
      <c r="G32" s="20"/>
      <c r="H32" s="20" t="s">
        <v>999</v>
      </c>
      <c r="I32" s="21" t="s">
        <v>1002</v>
      </c>
      <c r="J32" s="21"/>
      <c r="K32" s="21"/>
      <c r="L32" s="21"/>
      <c r="M32" s="21"/>
      <c r="N32" s="21"/>
      <c r="O32" s="21" t="s">
        <v>1008</v>
      </c>
      <c r="P32" s="22" t="str">
        <f>IF(_xlfn.CONCAT(テーブル14[[#This Row],[変更種別]:[keywords / 変更]])&lt;&gt;"","","*")</f>
        <v/>
      </c>
      <c r="Q32" s="22" t="str">
        <f>IF(テーブル14[[#This Row],[変更種別]]="削除","2",IF(テーブル14[[#This Row],[_ex2]]="","1",""))</f>
        <v>2</v>
      </c>
      <c r="R32" s="22" t="str">
        <f>IF(テーブル14[[#This Row],[変更種別]]="新規","",テーブル14[[#This Row],[id]])</f>
        <v>4e9770fd-563b-4ab2-8173-f2f95ffc710d</v>
      </c>
      <c r="S32" s="22" t="str">
        <f>IF(テーブル14[[#This Row],[変更種別]]="削除",
       "",
       IF(テーブル14[[#This Row],[title / 変更]]="",テーブル14[[#This Row],[title]],テーブル14[[#This Row],[title / 変更]]))</f>
        <v/>
      </c>
      <c r="T32" s="22" t="str">
        <f>IF(テーブル14[[#This Row],[変更種別]]="削除",
       "",
       IF(テーブル14[[#This Row],[url / 変更]]="",テーブル14[[#This Row],[url]],テーブル14[[#This Row],[url / 変更]]))</f>
        <v/>
      </c>
      <c r="U32" s="22" t="str">
        <f>IF(テーブル14[[#This Row],[変更種別]]="削除",
       "",
       IF(テーブル14[[#This Row],[keywords / 変更]]="",テーブル14[[#This Row],[keywords]],テーブル14[[#This Row],[keywords / 変更]]))</f>
        <v/>
      </c>
      <c r="V32" s="22" t="str">
        <f>IF(テーブル14[[#This Row],[変更種別]]="削除",
       "",
       IF(テーブル14[[#This Row],[comment]]="","",テーブル14[[#This Row],[comment]]))</f>
        <v/>
      </c>
      <c r="W32" s="22" t="str">
        <f>IF(テーブル14[[#This Row],[変更種別]]="削除",
       "",
       IF(テーブル14[[#This Row],[priority / 変更後]]="",テーブル14[[#This Row],[priority]],テーブル14[[#This Row],[priority / 変更後]]))</f>
        <v/>
      </c>
      <c r="X3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3" spans="1:24" x14ac:dyDescent="0.25">
      <c r="A33" s="20" t="s">
        <v>773</v>
      </c>
      <c r="B33" s="20" t="s">
        <v>999</v>
      </c>
      <c r="C33" s="20" t="s">
        <v>367</v>
      </c>
      <c r="D33" s="20" t="s">
        <v>365</v>
      </c>
      <c r="E33" s="20" t="s">
        <v>366</v>
      </c>
      <c r="F33" s="20" t="s">
        <v>827</v>
      </c>
      <c r="G33" s="20"/>
      <c r="H33" s="20" t="s">
        <v>999</v>
      </c>
      <c r="I33" s="21" t="s">
        <v>1181</v>
      </c>
      <c r="J33" s="21"/>
      <c r="K33" s="21"/>
      <c r="L33" s="21"/>
      <c r="M33" s="21"/>
      <c r="N33" s="21" t="s">
        <v>1191</v>
      </c>
      <c r="O33" s="21" t="s">
        <v>1193</v>
      </c>
      <c r="P33" s="22" t="str">
        <f>IF(_xlfn.CONCAT(テーブル14[[#This Row],[変更種別]:[keywords / 変更]])&lt;&gt;"","","*")</f>
        <v/>
      </c>
      <c r="Q33" s="22" t="str">
        <f>IF(テーブル14[[#This Row],[変更種別]]="削除","2",IF(テーブル14[[#This Row],[_ex2]]="","1",""))</f>
        <v>1</v>
      </c>
      <c r="R33" s="22" t="str">
        <f>IF(テーブル14[[#This Row],[変更種別]]="新規","",テーブル14[[#This Row],[id]])</f>
        <v>8883061f-2e61-494d-bb90-b461db5c2bff</v>
      </c>
      <c r="S33" s="22" t="str">
        <f>IF(テーブル14[[#This Row],[変更種別]]="削除",
       "",
       IF(テーブル14[[#This Row],[title / 変更]]="",テーブル14[[#This Row],[title]],テーブル14[[#This Row],[title / 変更]]))</f>
        <v>人事関連トップページ</v>
      </c>
      <c r="T33" s="22" t="str">
        <f>IF(テーブル14[[#This Row],[変更種別]]="削除",
       "",
       IF(テーブル14[[#This Row],[url / 変更]]="",テーブル14[[#This Row],[url]],テーブル14[[#This Row],[url / 変更]]))</f>
        <v>https://itochucorp.sharepoint.com/sites/intra-tokpj_hr/SitePages/ホーム.aspx</v>
      </c>
      <c r="U33" s="22" t="str">
        <f>IF(テーブル14[[#This Row],[変更種別]]="削除",
       "",
       IF(テーブル14[[#This Row],[keywords / 変更]]="",テーブル14[[#This Row],[keywords]],テーブル14[[#This Row],[keywords / 変更]]))</f>
        <v>[ "給与", "給与明細", "明細" ]</v>
      </c>
      <c r="V33" s="22" t="str">
        <f>IF(テーブル14[[#This Row],[変更種別]]="削除",
       "",
       IF(テーブル14[[#This Row],[comment]]="","",テーブル14[[#This Row],[comment]]))</f>
        <v/>
      </c>
      <c r="W33" s="22" t="str">
        <f>IF(テーブル14[[#This Row],[変更種別]]="削除",
       "",
       IF(テーブル14[[#This Row],[priority / 変更後]]="",テーブル14[[#This Row],[priority]],テーブル14[[#This Row],[priority / 変更後]]))</f>
        <v>2</v>
      </c>
      <c r="X3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4" spans="1:24" x14ac:dyDescent="0.25">
      <c r="A34" s="20" t="s">
        <v>773</v>
      </c>
      <c r="B34" s="20" t="s">
        <v>999</v>
      </c>
      <c r="C34" s="20" t="s">
        <v>364</v>
      </c>
      <c r="D34" s="20" t="s">
        <v>362</v>
      </c>
      <c r="E34" s="20" t="s">
        <v>363</v>
      </c>
      <c r="F34" s="20" t="s">
        <v>827</v>
      </c>
      <c r="G34" s="20"/>
      <c r="H34" s="20" t="s">
        <v>999</v>
      </c>
      <c r="I34" s="21" t="s">
        <v>1181</v>
      </c>
      <c r="J34" s="21"/>
      <c r="K34" s="21"/>
      <c r="L34" s="21"/>
      <c r="M34" s="21"/>
      <c r="N34" s="21" t="s">
        <v>1192</v>
      </c>
      <c r="O34" s="21" t="s">
        <v>1193</v>
      </c>
      <c r="P34" s="22" t="str">
        <f>IF(_xlfn.CONCAT(テーブル14[[#This Row],[変更種別]:[keywords / 変更]])&lt;&gt;"","","*")</f>
        <v/>
      </c>
      <c r="Q34" s="22" t="str">
        <f>IF(テーブル14[[#This Row],[変更種別]]="削除","2",IF(テーブル14[[#This Row],[_ex2]]="","1",""))</f>
        <v>1</v>
      </c>
      <c r="R34" s="22" t="str">
        <f>IF(テーブル14[[#This Row],[変更種別]]="新規","",テーブル14[[#This Row],[id]])</f>
        <v>dbdaf259-01b6-40ad-b112-ede5a5954999</v>
      </c>
      <c r="S34" s="22" t="str">
        <f>IF(テーブル14[[#This Row],[変更種別]]="削除",
       "",
       IF(テーブル14[[#This Row],[title / 変更]]="",テーブル14[[#This Row],[title]],テーブル14[[#This Row],[title / 変更]]))</f>
        <v>給与明細 FAQ</v>
      </c>
      <c r="T34" s="22" t="str">
        <f>IF(テーブル14[[#This Row],[変更種別]]="削除",
       "",
       IF(テーブル14[[#This Row],[url / 変更]]="",テーブル14[[#This Row],[url]],テーブル14[[#This Row],[url / 変更]]))</f>
        <v>https://itochucorp.sharepoint.com/sites/intra-tokpj_hr-faq/SitePages/kyuyo/給与明細.aspx</v>
      </c>
      <c r="U34" s="22" t="str">
        <f>IF(テーブル14[[#This Row],[変更種別]]="削除",
       "",
       IF(テーブル14[[#This Row],[keywords / 変更]]="",テーブル14[[#This Row],[keywords]],テーブル14[[#This Row],[keywords / 変更]]))</f>
        <v>[ "給与", "給与明細", "明細" ]</v>
      </c>
      <c r="V34" s="22" t="str">
        <f>IF(テーブル14[[#This Row],[変更種別]]="削除",
       "",
       IF(テーブル14[[#This Row],[comment]]="","",テーブル14[[#This Row],[comment]]))</f>
        <v/>
      </c>
      <c r="W34" s="22" t="str">
        <f>IF(テーブル14[[#This Row],[変更種別]]="削除",
       "",
       IF(テーブル14[[#This Row],[priority / 変更後]]="",テーブル14[[#This Row],[priority]],テーブル14[[#This Row],[priority / 変更後]]))</f>
        <v>3</v>
      </c>
      <c r="X3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5" spans="1:24" x14ac:dyDescent="0.25">
      <c r="A35" s="20" t="s">
        <v>773</v>
      </c>
      <c r="B35" s="20" t="s">
        <v>999</v>
      </c>
      <c r="C35" s="20" t="s">
        <v>828</v>
      </c>
      <c r="D35" s="20" t="s">
        <v>792</v>
      </c>
      <c r="E35" s="20" t="s">
        <v>793</v>
      </c>
      <c r="F35" s="20" t="s">
        <v>827</v>
      </c>
      <c r="G35" s="20"/>
      <c r="H35" s="20" t="s">
        <v>999</v>
      </c>
      <c r="I35" s="21" t="s">
        <v>1002</v>
      </c>
      <c r="J35" s="21"/>
      <c r="K35" s="21"/>
      <c r="L35" s="21"/>
      <c r="M35" s="21"/>
      <c r="N35" s="21"/>
      <c r="O35" s="21" t="s">
        <v>1009</v>
      </c>
      <c r="P35" s="22" t="str">
        <f>IF(_xlfn.CONCAT(テーブル14[[#This Row],[変更種別]:[keywords / 変更]])&lt;&gt;"","","*")</f>
        <v/>
      </c>
      <c r="Q35" s="22" t="str">
        <f>IF(テーブル14[[#This Row],[変更種別]]="削除","2",IF(テーブル14[[#This Row],[_ex2]]="","1",""))</f>
        <v>2</v>
      </c>
      <c r="R35" s="22" t="str">
        <f>IF(テーブル14[[#This Row],[変更種別]]="新規","",テーブル14[[#This Row],[id]])</f>
        <v>073ce43d-831f-43c2-be57-7a3135703492</v>
      </c>
      <c r="S35" s="22" t="str">
        <f>IF(テーブル14[[#This Row],[変更種別]]="削除",
       "",
       IF(テーブル14[[#This Row],[title / 変更]]="",テーブル14[[#This Row],[title]],テーブル14[[#This Row],[title / 変更]]))</f>
        <v/>
      </c>
      <c r="T35" s="22" t="str">
        <f>IF(テーブル14[[#This Row],[変更種別]]="削除",
       "",
       IF(テーブル14[[#This Row],[url / 変更]]="",テーブル14[[#This Row],[url]],テーブル14[[#This Row],[url / 変更]]))</f>
        <v/>
      </c>
      <c r="U35" s="22" t="str">
        <f>IF(テーブル14[[#This Row],[変更種別]]="削除",
       "",
       IF(テーブル14[[#This Row],[keywords / 変更]]="",テーブル14[[#This Row],[keywords]],テーブル14[[#This Row],[keywords / 変更]]))</f>
        <v/>
      </c>
      <c r="V35" s="22" t="str">
        <f>IF(テーブル14[[#This Row],[変更種別]]="削除",
       "",
       IF(テーブル14[[#This Row],[comment]]="","",テーブル14[[#This Row],[comment]]))</f>
        <v/>
      </c>
      <c r="W35" s="22" t="str">
        <f>IF(テーブル14[[#This Row],[変更種別]]="削除",
       "",
       IF(テーブル14[[#This Row],[priority / 変更後]]="",テーブル14[[#This Row],[priority]],テーブル14[[#This Row],[priority / 変更後]]))</f>
        <v/>
      </c>
      <c r="X3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6" spans="1:24" ht="57" x14ac:dyDescent="0.25">
      <c r="A36" s="20" t="s">
        <v>773</v>
      </c>
      <c r="B36" s="20" t="s">
        <v>999</v>
      </c>
      <c r="C36" s="20" t="s">
        <v>370</v>
      </c>
      <c r="D36" s="20" t="s">
        <v>368</v>
      </c>
      <c r="E36" s="20" t="s">
        <v>369</v>
      </c>
      <c r="F36" s="20" t="s">
        <v>829</v>
      </c>
      <c r="G36" s="20"/>
      <c r="H36" s="20" t="s">
        <v>999</v>
      </c>
      <c r="I36" s="21" t="s">
        <v>1181</v>
      </c>
      <c r="J36" s="21"/>
      <c r="K36" s="21"/>
      <c r="L36" s="21" t="s">
        <v>1183</v>
      </c>
      <c r="M36" s="21"/>
      <c r="N36" s="21" t="s">
        <v>1189</v>
      </c>
      <c r="O36" s="21"/>
      <c r="P36" s="22" t="str">
        <f>IF(_xlfn.CONCAT(テーブル14[[#This Row],[変更種別]:[keywords / 変更]])&lt;&gt;"","","*")</f>
        <v/>
      </c>
      <c r="Q36" s="22" t="str">
        <f>IF(テーブル14[[#This Row],[変更種別]]="削除","2",IF(テーブル14[[#This Row],[_ex2]]="","1",""))</f>
        <v>1</v>
      </c>
      <c r="R36" s="22" t="str">
        <f>IF(テーブル14[[#This Row],[変更種別]]="新規","",テーブル14[[#This Row],[id]])</f>
        <v>e7cb9378-6958-4ffe-ad6e-399d939550c3</v>
      </c>
      <c r="S36" s="22" t="str">
        <f>IF(テーブル14[[#This Row],[変更種別]]="削除",
       "",
       IF(テーブル14[[#This Row],[title / 変更]]="",テーブル14[[#This Row],[title]],テーブル14[[#This Row],[title / 変更]]))</f>
        <v>給与テーブル</v>
      </c>
      <c r="T36" s="22" t="str">
        <f>IF(テーブル14[[#This Row],[変更種別]]="削除",
       "",
       IF(テーブル14[[#This Row],[url / 変更]]="",テーブル14[[#This Row],[url]],テーブル14[[#This Row],[url / 変更]]))</f>
        <v>https://itochucorp.sharepoint.com/sites/intra-tokpj_hr/D_LevelA3/setsumei/kyuyotable.pdf</v>
      </c>
      <c r="U36" s="22" t="str">
        <f>IF(テーブル14[[#This Row],[変更種別]]="削除",
       "",
       IF(テーブル14[[#This Row],[keywords / 変更]]="",テーブル14[[#This Row],[keywords]],テーブル14[[#This Row],[keywords / 変更]]))</f>
        <v>[ "給与テーブル" ]</v>
      </c>
      <c r="V36" s="22" t="str">
        <f>IF(テーブル14[[#This Row],[変更種別]]="削除",
       "",
       IF(テーブル14[[#This Row],[comment]]="","",テーブル14[[#This Row],[comment]]))</f>
        <v/>
      </c>
      <c r="W36" s="22" t="str">
        <f>IF(テーブル14[[#This Row],[変更種別]]="削除",
       "",
       IF(テーブル14[[#This Row],[priority / 変更後]]="",テーブル14[[#This Row],[priority]],テーブル14[[#This Row],[priority / 変更後]]))</f>
        <v>1</v>
      </c>
      <c r="X3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"給与", "給与明細", "明細", "給与テーブル" ]
　後: [ "給与テーブル" ]
</v>
      </c>
    </row>
    <row r="37" spans="1:24" x14ac:dyDescent="0.25">
      <c r="A37" s="20" t="s">
        <v>773</v>
      </c>
      <c r="B37" s="20" t="s">
        <v>999</v>
      </c>
      <c r="C37" s="20" t="s">
        <v>59</v>
      </c>
      <c r="D37" s="20" t="s">
        <v>57</v>
      </c>
      <c r="E37" s="20" t="s">
        <v>58</v>
      </c>
      <c r="F37" s="20" t="s">
        <v>830</v>
      </c>
      <c r="G37" s="20"/>
      <c r="H37" s="20" t="s">
        <v>999</v>
      </c>
      <c r="I37" s="21"/>
      <c r="J37" s="21"/>
      <c r="K37" s="21"/>
      <c r="L37" s="21"/>
      <c r="M37" s="21"/>
      <c r="N37" s="21" t="s">
        <v>1189</v>
      </c>
      <c r="O37" s="21"/>
      <c r="P37" s="22" t="str">
        <f>IF(_xlfn.CONCAT(テーブル14[[#This Row],[変更種別]:[keywords / 変更]])&lt;&gt;"","","*")</f>
        <v>*</v>
      </c>
      <c r="Q37" s="22" t="str">
        <f>IF(テーブル14[[#This Row],[変更種別]]="削除","2",IF(テーブル14[[#This Row],[_ex2]]="","1",""))</f>
        <v/>
      </c>
      <c r="R37" s="22" t="str">
        <f>IF(テーブル14[[#This Row],[変更種別]]="新規","",テーブル14[[#This Row],[id]])</f>
        <v>b6dd69b7-7559-48f8-982b-5051de466deb</v>
      </c>
      <c r="S37" s="22" t="str">
        <f>IF(テーブル14[[#This Row],[変更種別]]="削除",
       "",
       IF(テーブル14[[#This Row],[title / 変更]]="",テーブル14[[#This Row],[title]],テーブル14[[#This Row],[title / 変更]]))</f>
        <v>サステナビリティ推進室イントラ</v>
      </c>
      <c r="T37" s="22" t="str">
        <f>IF(テーブル14[[#This Row],[変更種別]]="削除",
       "",
       IF(テーブル14[[#This Row],[url / 変更]]="",テーブル14[[#This Row],[url]],テーブル14[[#This Row],[url / 変更]]))</f>
        <v>https://itochucorp.sharepoint.com/sites/intra-tokcr/SitePages/TopPage.aspx</v>
      </c>
      <c r="U37" s="22" t="str">
        <f>IF(テーブル14[[#This Row],[変更種別]]="削除",
       "",
       IF(テーブル14[[#This Row],[keywords / 変更]]="",テーブル14[[#This Row],[keywords]],テーブル14[[#This Row],[keywords / 変更]]))</f>
        <v>[ "esg", "ｅｓｇ", "sdgs", "ｓｄｇｓ", "サプライチェーン", "社会貢献" ]</v>
      </c>
      <c r="V37" s="22" t="str">
        <f>IF(テーブル14[[#This Row],[変更種別]]="削除",
       "",
       IF(テーブル14[[#This Row],[comment]]="","",テーブル14[[#This Row],[comment]]))</f>
        <v/>
      </c>
      <c r="W37" s="22" t="str">
        <f>IF(テーブル14[[#This Row],[変更種別]]="削除",
       "",
       IF(テーブル14[[#This Row],[priority / 変更後]]="",テーブル14[[#This Row],[priority]],テーブル14[[#This Row],[priority / 変更後]]))</f>
        <v>1</v>
      </c>
      <c r="X3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8" spans="1:24" x14ac:dyDescent="0.25">
      <c r="A38" s="20" t="s">
        <v>773</v>
      </c>
      <c r="B38" s="20" t="s">
        <v>999</v>
      </c>
      <c r="C38" s="20" t="s">
        <v>566</v>
      </c>
      <c r="D38" s="20" t="s">
        <v>564</v>
      </c>
      <c r="E38" s="20" t="s">
        <v>565</v>
      </c>
      <c r="F38" s="20" t="s">
        <v>831</v>
      </c>
      <c r="G38" s="20"/>
      <c r="H38" s="20" t="s">
        <v>999</v>
      </c>
      <c r="I38" s="21"/>
      <c r="J38" s="21"/>
      <c r="K38" s="21"/>
      <c r="L38" s="21"/>
      <c r="M38" s="21"/>
      <c r="N38" s="21" t="s">
        <v>1189</v>
      </c>
      <c r="O38" s="21"/>
      <c r="P38" s="22" t="str">
        <f>IF(_xlfn.CONCAT(テーブル14[[#This Row],[変更種別]:[keywords / 変更]])&lt;&gt;"","","*")</f>
        <v>*</v>
      </c>
      <c r="Q38" s="22" t="str">
        <f>IF(テーブル14[[#This Row],[変更種別]]="削除","2",IF(テーブル14[[#This Row],[_ex2]]="","1",""))</f>
        <v/>
      </c>
      <c r="R38" s="22" t="str">
        <f>IF(テーブル14[[#This Row],[変更種別]]="新規","",テーブル14[[#This Row],[id]])</f>
        <v>ff54ff56-2ea1-473c-84c8-0a09d8dba87c</v>
      </c>
      <c r="S38" s="22" t="str">
        <f>IF(テーブル14[[#This Row],[変更種別]]="削除",
       "",
       IF(テーブル14[[#This Row],[title / 変更]]="",テーブル14[[#This Row],[title]],テーブル14[[#This Row],[title / 変更]]))</f>
        <v>統一レート</v>
      </c>
      <c r="T38" s="22" t="str">
        <f>IF(テーブル14[[#This Row],[変更種別]]="削除",
       "",
       IF(テーブル14[[#This Row],[url / 変更]]="",テーブル14[[#This Row],[url]],テーブル14[[#This Row],[url / 変更]]))</f>
        <v>https://itochucorp.sharepoint.com/sites/extra-tokgnlevelD/DocLib005/Forms/AllItems.aspx</v>
      </c>
      <c r="U38" s="22" t="str">
        <f>IF(テーブル14[[#This Row],[変更種別]]="削除",
       "",
       IF(テーブル14[[#This Row],[keywords / 変更]]="",テーブル14[[#This Row],[keywords]],テーブル14[[#This Row],[keywords / 変更]]))</f>
        <v>[ "統一レート" ]</v>
      </c>
      <c r="V38" s="22" t="str">
        <f>IF(テーブル14[[#This Row],[変更種別]]="削除",
       "",
       IF(テーブル14[[#This Row],[comment]]="","",テーブル14[[#This Row],[comment]]))</f>
        <v/>
      </c>
      <c r="W38" s="22" t="str">
        <f>IF(テーブル14[[#This Row],[変更種別]]="削除",
       "",
       IF(テーブル14[[#This Row],[priority / 変更後]]="",テーブル14[[#This Row],[priority]],テーブル14[[#This Row],[priority / 変更後]]))</f>
        <v>1</v>
      </c>
      <c r="X3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39" spans="1:24" x14ac:dyDescent="0.25">
      <c r="A39" s="20" t="s">
        <v>773</v>
      </c>
      <c r="B39" s="20" t="s">
        <v>999</v>
      </c>
      <c r="C39" s="20" t="s">
        <v>569</v>
      </c>
      <c r="D39" s="20" t="s">
        <v>567</v>
      </c>
      <c r="E39" s="20" t="s">
        <v>568</v>
      </c>
      <c r="F39" s="20" t="s">
        <v>831</v>
      </c>
      <c r="G39" s="20"/>
      <c r="H39" s="20" t="s">
        <v>999</v>
      </c>
      <c r="I39" s="21" t="s">
        <v>1181</v>
      </c>
      <c r="J39" s="21"/>
      <c r="K39" s="21"/>
      <c r="L39" s="21"/>
      <c r="M39" s="21"/>
      <c r="N39" s="21" t="s">
        <v>1191</v>
      </c>
      <c r="O39" s="21" t="s">
        <v>1193</v>
      </c>
      <c r="P39" s="22" t="str">
        <f>IF(_xlfn.CONCAT(テーブル14[[#This Row],[変更種別]:[keywords / 変更]])&lt;&gt;"","","*")</f>
        <v/>
      </c>
      <c r="Q39" s="22" t="str">
        <f>IF(テーブル14[[#This Row],[変更種別]]="削除","2",IF(テーブル14[[#This Row],[_ex2]]="","1",""))</f>
        <v>1</v>
      </c>
      <c r="R39" s="22" t="str">
        <f>IF(テーブル14[[#This Row],[変更種別]]="新規","",テーブル14[[#This Row],[id]])</f>
        <v>02a52e91-4f88-4c67-9e77-417c22bf230d</v>
      </c>
      <c r="S39" s="22" t="str">
        <f>IF(テーブル14[[#This Row],[変更種別]]="削除",
       "",
       IF(テーブル14[[#This Row],[title / 変更]]="",テーブル14[[#This Row],[title]],テーブル14[[#This Row],[title / 変更]]))</f>
        <v>統一レートの算定基準</v>
      </c>
      <c r="T39" s="22" t="str">
        <f>IF(テーブル14[[#This Row],[変更種別]]="削除",
       "",
       IF(テーブル14[[#This Row],[url / 変更]]="",テーブル14[[#This Row],[url]],テーブル14[[#This Row],[url / 変更]]))</f>
        <v>https://itochucorp.sharepoint.com/sites/intra-tokgn/Lists/List003/DispForm.aspx?ID=259</v>
      </c>
      <c r="U39" s="22" t="str">
        <f>IF(テーブル14[[#This Row],[変更種別]]="削除",
       "",
       IF(テーブル14[[#This Row],[keywords / 変更]]="",テーブル14[[#This Row],[keywords]],テーブル14[[#This Row],[keywords / 変更]]))</f>
        <v>[ "統一レート" ]</v>
      </c>
      <c r="V39" s="22" t="str">
        <f>IF(テーブル14[[#This Row],[変更種別]]="削除",
       "",
       IF(テーブル14[[#This Row],[comment]]="","",テーブル14[[#This Row],[comment]]))</f>
        <v/>
      </c>
      <c r="W39" s="22" t="str">
        <f>IF(テーブル14[[#This Row],[変更種別]]="削除",
       "",
       IF(テーブル14[[#This Row],[priority / 変更後]]="",テーブル14[[#This Row],[priority]],テーブル14[[#This Row],[priority / 変更後]]))</f>
        <v>2</v>
      </c>
      <c r="X3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40" spans="1:24" x14ac:dyDescent="0.25">
      <c r="A40" s="20" t="s">
        <v>773</v>
      </c>
      <c r="B40" s="20" t="s">
        <v>999</v>
      </c>
      <c r="C40" s="20" t="s">
        <v>351</v>
      </c>
      <c r="D40" s="20" t="s">
        <v>349</v>
      </c>
      <c r="E40" s="20" t="s">
        <v>350</v>
      </c>
      <c r="F40" s="20" t="s">
        <v>832</v>
      </c>
      <c r="G40" s="20"/>
      <c r="H40" s="20" t="s">
        <v>999</v>
      </c>
      <c r="I40" s="21"/>
      <c r="J40" s="21"/>
      <c r="K40" s="21"/>
      <c r="L40" s="21"/>
      <c r="M40" s="21"/>
      <c r="N40" s="21" t="s">
        <v>1189</v>
      </c>
      <c r="O40" s="21"/>
      <c r="P40" s="22" t="str">
        <f>IF(_xlfn.CONCAT(テーブル14[[#This Row],[変更種別]:[keywords / 変更]])&lt;&gt;"","","*")</f>
        <v>*</v>
      </c>
      <c r="Q40" s="22" t="str">
        <f>IF(テーブル14[[#This Row],[変更種別]]="削除","2",IF(テーブル14[[#This Row],[_ex2]]="","1",""))</f>
        <v/>
      </c>
      <c r="R40" s="22" t="str">
        <f>IF(テーブル14[[#This Row],[変更種別]]="新規","",テーブル14[[#This Row],[id]])</f>
        <v>572ac3b2-9b5d-484b-9b86-3cd5fa72557d</v>
      </c>
      <c r="S40" s="22" t="str">
        <f>IF(テーブル14[[#This Row],[変更種別]]="削除",
       "",
       IF(テーブル14[[#This Row],[title / 変更]]="",テーブル14[[#This Row],[title]],テーブル14[[#This Row],[title / 変更]]))</f>
        <v>期末換算レート</v>
      </c>
      <c r="T40" s="22" t="str">
        <f>IF(テーブル14[[#This Row],[変更種別]]="削除",
       "",
       IF(テーブル14[[#This Row],[url / 変更]]="",テーブル14[[#This Row],[url]],テーブル14[[#This Row],[url / 変更]]))</f>
        <v>https://itochucorp.sharepoint.com/sites/intra-tokgn/DocLib007/Forms/AllItems.aspx</v>
      </c>
      <c r="U40" s="22" t="str">
        <f>IF(テーブル14[[#This Row],[変更種別]]="削除",
       "",
       IF(テーブル14[[#This Row],[keywords / 変更]]="",テーブル14[[#This Row],[keywords]],テーブル14[[#This Row],[keywords / 変更]]))</f>
        <v>[ "期末換算レート" ]</v>
      </c>
      <c r="V40" s="22" t="str">
        <f>IF(テーブル14[[#This Row],[変更種別]]="削除",
       "",
       IF(テーブル14[[#This Row],[comment]]="","",テーブル14[[#This Row],[comment]]))</f>
        <v/>
      </c>
      <c r="W40" s="22" t="str">
        <f>IF(テーブル14[[#This Row],[変更種別]]="削除",
       "",
       IF(テーブル14[[#This Row],[priority / 変更後]]="",テーブル14[[#This Row],[priority]],テーブル14[[#This Row],[priority / 変更後]]))</f>
        <v>1</v>
      </c>
      <c r="X4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41" spans="1:24" x14ac:dyDescent="0.25">
      <c r="A41" s="20" t="s">
        <v>773</v>
      </c>
      <c r="B41" s="20" t="s">
        <v>999</v>
      </c>
      <c r="C41" s="20" t="s">
        <v>683</v>
      </c>
      <c r="D41" s="20" t="s">
        <v>681</v>
      </c>
      <c r="E41" s="20" t="s">
        <v>682</v>
      </c>
      <c r="F41" s="20" t="s">
        <v>833</v>
      </c>
      <c r="G41" s="20"/>
      <c r="H41" s="20" t="s">
        <v>999</v>
      </c>
      <c r="I41" s="21"/>
      <c r="J41" s="21"/>
      <c r="K41" s="21"/>
      <c r="L41" s="21"/>
      <c r="M41" s="21"/>
      <c r="N41" s="21" t="s">
        <v>1189</v>
      </c>
      <c r="O41" s="21"/>
      <c r="P41" s="22" t="str">
        <f>IF(_xlfn.CONCAT(テーブル14[[#This Row],[変更種別]:[keywords / 変更]])&lt;&gt;"","","*")</f>
        <v>*</v>
      </c>
      <c r="Q41" s="22" t="str">
        <f>IF(テーブル14[[#This Row],[変更種別]]="削除","2",IF(テーブル14[[#This Row],[_ex2]]="","1",""))</f>
        <v/>
      </c>
      <c r="R41" s="22" t="str">
        <f>IF(テーブル14[[#This Row],[変更種別]]="新規","",テーブル14[[#This Row],[id]])</f>
        <v>1b425f1d-35a5-4f4a-b088-cca90a20fb9f</v>
      </c>
      <c r="S41" s="22" t="str">
        <f>IF(テーブル14[[#This Row],[変更種別]]="削除",
       "",
       IF(テーブル14[[#This Row],[title / 変更]]="",テーブル14[[#This Row],[title]],テーブル14[[#This Row],[title / 変更]]))</f>
        <v>連結決算における換算レート一覧表</v>
      </c>
      <c r="T41" s="22" t="str">
        <f>IF(テーブル14[[#This Row],[変更種別]]="削除",
       "",
       IF(テーブル14[[#This Row],[url / 変更]]="",テーブル14[[#This Row],[url]],テーブル14[[#This Row],[url / 変更]]))</f>
        <v>https://itochucorp.sharepoint.com/sites/extra-tokgnlevelD/DocLib004/Forms/AllItems.aspx</v>
      </c>
      <c r="U41" s="22" t="str">
        <f>IF(テーブル14[[#This Row],[変更種別]]="削除",
       "",
       IF(テーブル14[[#This Row],[keywords / 変更]]="",テーブル14[[#This Row],[keywords]],テーブル14[[#This Row],[keywords / 変更]]))</f>
        <v>[ "連結レート", "連結決算における換算レート" ]</v>
      </c>
      <c r="V41" s="22" t="str">
        <f>IF(テーブル14[[#This Row],[変更種別]]="削除",
       "",
       IF(テーブル14[[#This Row],[comment]]="","",テーブル14[[#This Row],[comment]]))</f>
        <v/>
      </c>
      <c r="W41" s="22" t="str">
        <f>IF(テーブル14[[#This Row],[変更種別]]="削除",
       "",
       IF(テーブル14[[#This Row],[priority / 変更後]]="",テーブル14[[#This Row],[priority]],テーブル14[[#This Row],[priority / 変更後]]))</f>
        <v>1</v>
      </c>
      <c r="X4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42" spans="1:24" x14ac:dyDescent="0.25">
      <c r="A42" s="20" t="s">
        <v>773</v>
      </c>
      <c r="B42" s="20" t="s">
        <v>999</v>
      </c>
      <c r="C42" s="20" t="s">
        <v>328</v>
      </c>
      <c r="D42" s="20" t="s">
        <v>326</v>
      </c>
      <c r="E42" s="20" t="s">
        <v>327</v>
      </c>
      <c r="F42" s="20" t="s">
        <v>834</v>
      </c>
      <c r="G42" s="20"/>
      <c r="H42" s="20" t="s">
        <v>999</v>
      </c>
      <c r="I42" s="21"/>
      <c r="J42" s="21"/>
      <c r="K42" s="21"/>
      <c r="L42" s="21"/>
      <c r="M42" s="21"/>
      <c r="N42" s="21" t="s">
        <v>1189</v>
      </c>
      <c r="O42" s="21"/>
      <c r="P42" s="22" t="str">
        <f>IF(_xlfn.CONCAT(テーブル14[[#This Row],[変更種別]:[keywords / 変更]])&lt;&gt;"","","*")</f>
        <v>*</v>
      </c>
      <c r="Q42" s="22" t="str">
        <f>IF(テーブル14[[#This Row],[変更種別]]="削除","2",IF(テーブル14[[#This Row],[_ex2]]="","1",""))</f>
        <v/>
      </c>
      <c r="R42" s="22" t="str">
        <f>IF(テーブル14[[#This Row],[変更種別]]="新規","",テーブル14[[#This Row],[id]])</f>
        <v>ba6094f2-69f0-4ae8-bd45-31405378841d</v>
      </c>
      <c r="S42" s="22" t="str">
        <f>IF(テーブル14[[#This Row],[変更種別]]="削除",
       "",
       IF(テーブル14[[#This Row],[title / 変更]]="",テーブル14[[#This Row],[title]],テーブル14[[#This Row],[title / 変更]]))</f>
        <v>海外出張旅費精算時に用いる換算レート及び関連する証憑書類について</v>
      </c>
      <c r="T42" s="22" t="str">
        <f>IF(テーブル14[[#This Row],[変更種別]]="削除",
       "",
       IF(テーブル14[[#This Row],[url / 変更]]="",テーブル14[[#This Row],[url]],テーブル14[[#This Row],[url / 変更]]))</f>
        <v>https://itochucorp.sharepoint.com/sites/intra-tokgn/Lists/List003/DispForm.aspx?ID=71</v>
      </c>
      <c r="U42" s="22" t="str">
        <f>IF(テーブル14[[#This Row],[変更種別]]="削除",
       "",
       IF(テーブル14[[#This Row],[keywords / 変更]]="",テーブル14[[#This Row],[keywords]],テーブル14[[#This Row],[keywords / 変更]]))</f>
        <v>[ "海外出張旅費" ]</v>
      </c>
      <c r="V42" s="22" t="str">
        <f>IF(テーブル14[[#This Row],[変更種別]]="削除",
       "",
       IF(テーブル14[[#This Row],[comment]]="","",テーブル14[[#This Row],[comment]]))</f>
        <v/>
      </c>
      <c r="W42" s="22" t="str">
        <f>IF(テーブル14[[#This Row],[変更種別]]="削除",
       "",
       IF(テーブル14[[#This Row],[priority / 変更後]]="",テーブル14[[#This Row],[priority]],テーブル14[[#This Row],[priority / 変更後]]))</f>
        <v>1</v>
      </c>
      <c r="X4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43" spans="1:24" x14ac:dyDescent="0.25">
      <c r="A43" s="20" t="s">
        <v>773</v>
      </c>
      <c r="B43" s="20" t="s">
        <v>999</v>
      </c>
      <c r="C43" s="20" t="s">
        <v>398</v>
      </c>
      <c r="D43" s="20" t="s">
        <v>396</v>
      </c>
      <c r="E43" s="20" t="s">
        <v>397</v>
      </c>
      <c r="F43" s="20" t="s">
        <v>835</v>
      </c>
      <c r="G43" s="20"/>
      <c r="H43" s="20" t="s">
        <v>999</v>
      </c>
      <c r="I43" s="21"/>
      <c r="J43" s="21"/>
      <c r="K43" s="21"/>
      <c r="L43" s="21"/>
      <c r="M43" s="21"/>
      <c r="N43" s="21" t="s">
        <v>1189</v>
      </c>
      <c r="O43" s="21"/>
      <c r="P43" s="22" t="str">
        <f>IF(_xlfn.CONCAT(テーブル14[[#This Row],[変更種別]:[keywords / 変更]])&lt;&gt;"","","*")</f>
        <v>*</v>
      </c>
      <c r="Q43" s="22" t="str">
        <f>IF(テーブル14[[#This Row],[変更種別]]="削除","2",IF(テーブル14[[#This Row],[_ex2]]="","1",""))</f>
        <v/>
      </c>
      <c r="R43" s="22" t="str">
        <f>IF(テーブル14[[#This Row],[変更種別]]="新規","",テーブル14[[#This Row],[id]])</f>
        <v>b5dcadda-b4aa-4c90-a095-80e4b91893e8</v>
      </c>
      <c r="S43" s="22" t="str">
        <f>IF(テーブル14[[#This Row],[変更種別]]="削除",
       "",
       IF(テーブル14[[#This Row],[title / 変更]]="",テーブル14[[#This Row],[title]],テーブル14[[#This Row],[title / 変更]]))</f>
        <v>交互計算勘定制度に係る留意事項の件</v>
      </c>
      <c r="T43" s="22" t="str">
        <f>IF(テーブル14[[#This Row],[変更種別]]="削除",
       "",
       IF(テーブル14[[#This Row],[url / 変更]]="",テーブル14[[#This Row],[url]],テーブル14[[#This Row],[url / 変更]]))</f>
        <v>https://itochucorp.sharepoint.com/sites/intra-tokgn/Lists/List003/DispForm.aspx?ID=207</v>
      </c>
      <c r="U43" s="22" t="str">
        <f>IF(テーブル14[[#This Row],[変更種別]]="削除",
       "",
       IF(テーブル14[[#This Row],[keywords / 変更]]="",テーブル14[[#This Row],[keywords]],テーブル14[[#This Row],[keywords / 変更]]))</f>
        <v>[ "交互計算勘定" ]</v>
      </c>
      <c r="V43" s="22" t="str">
        <f>IF(テーブル14[[#This Row],[変更種別]]="削除",
       "",
       IF(テーブル14[[#This Row],[comment]]="","",テーブル14[[#This Row],[comment]]))</f>
        <v/>
      </c>
      <c r="W43" s="22" t="str">
        <f>IF(テーブル14[[#This Row],[変更種別]]="削除",
       "",
       IF(テーブル14[[#This Row],[priority / 変更後]]="",テーブル14[[#This Row],[priority]],テーブル14[[#This Row],[priority / 変更後]]))</f>
        <v>1</v>
      </c>
      <c r="X4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44" spans="1:24" x14ac:dyDescent="0.25">
      <c r="A44" s="20" t="s">
        <v>773</v>
      </c>
      <c r="B44" s="20" t="s">
        <v>999</v>
      </c>
      <c r="C44" s="20" t="s">
        <v>404</v>
      </c>
      <c r="D44" s="20" t="s">
        <v>402</v>
      </c>
      <c r="E44" s="20" t="s">
        <v>403</v>
      </c>
      <c r="F44" s="20" t="s">
        <v>836</v>
      </c>
      <c r="G44" s="20"/>
      <c r="H44" s="20" t="s">
        <v>999</v>
      </c>
      <c r="I44" s="21"/>
      <c r="J44" s="21"/>
      <c r="K44" s="21"/>
      <c r="L44" s="21"/>
      <c r="M44" s="21"/>
      <c r="N44" s="21" t="s">
        <v>1189</v>
      </c>
      <c r="O44" s="21"/>
      <c r="P44" s="22" t="str">
        <f>IF(_xlfn.CONCAT(テーブル14[[#This Row],[変更種別]:[keywords / 変更]])&lt;&gt;"","","*")</f>
        <v>*</v>
      </c>
      <c r="Q44" s="22" t="str">
        <f>IF(テーブル14[[#This Row],[変更種別]]="削除","2",IF(テーブル14[[#This Row],[_ex2]]="","1",""))</f>
        <v/>
      </c>
      <c r="R44" s="22" t="str">
        <f>IF(テーブル14[[#This Row],[変更種別]]="新規","",テーブル14[[#This Row],[id]])</f>
        <v>4eead727-3bff-4ef6-9e06-51ac0bd19edd</v>
      </c>
      <c r="S44" s="22" t="str">
        <f>IF(テーブル14[[#This Row],[変更種別]]="削除",
       "",
       IF(テーブル14[[#This Row],[title / 変更]]="",テーブル14[[#This Row],[title]],テーブル14[[#This Row],[title / 変更]]))</f>
        <v>棚卸商品の在庫実査実施要領</v>
      </c>
      <c r="T44" s="22" t="str">
        <f>IF(テーブル14[[#This Row],[変更種別]]="削除",
       "",
       IF(テーブル14[[#This Row],[url / 変更]]="",テーブル14[[#This Row],[url]],テーブル14[[#This Row],[url / 変更]]))</f>
        <v>https://itochucorp.sharepoint.com/sites/intra-tokgn/Lists/List004/DispForm.aspx?ID=919</v>
      </c>
      <c r="U44" s="22" t="str">
        <f>IF(テーブル14[[#This Row],[変更種別]]="削除",
       "",
       IF(テーブル14[[#This Row],[keywords / 変更]]="",テーブル14[[#This Row],[keywords]],テーブル14[[#This Row],[keywords / 変更]]))</f>
        <v>[ "在庫実査" ]</v>
      </c>
      <c r="V44" s="22" t="str">
        <f>IF(テーブル14[[#This Row],[変更種別]]="削除",
       "",
       IF(テーブル14[[#This Row],[comment]]="","",テーブル14[[#This Row],[comment]]))</f>
        <v/>
      </c>
      <c r="W44" s="22" t="str">
        <f>IF(テーブル14[[#This Row],[変更種別]]="削除",
       "",
       IF(テーブル14[[#This Row],[priority / 変更後]]="",テーブル14[[#This Row],[priority]],テーブル14[[#This Row],[priority / 変更後]]))</f>
        <v>1</v>
      </c>
      <c r="X4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45" spans="1:24" x14ac:dyDescent="0.25">
      <c r="A45" s="20" t="s">
        <v>773</v>
      </c>
      <c r="B45" s="20" t="s">
        <v>999</v>
      </c>
      <c r="C45" s="20" t="s">
        <v>454</v>
      </c>
      <c r="D45" s="20" t="s">
        <v>452</v>
      </c>
      <c r="E45" s="20" t="s">
        <v>453</v>
      </c>
      <c r="F45" s="20" t="s">
        <v>837</v>
      </c>
      <c r="G45" s="20"/>
      <c r="H45" s="20" t="s">
        <v>999</v>
      </c>
      <c r="I45" s="21"/>
      <c r="J45" s="21"/>
      <c r="K45" s="21"/>
      <c r="L45" s="21"/>
      <c r="M45" s="21"/>
      <c r="N45" s="21" t="s">
        <v>1189</v>
      </c>
      <c r="O45" s="21"/>
      <c r="P45" s="22" t="str">
        <f>IF(_xlfn.CONCAT(テーブル14[[#This Row],[変更種別]:[keywords / 変更]])&lt;&gt;"","","*")</f>
        <v>*</v>
      </c>
      <c r="Q45" s="22" t="str">
        <f>IF(テーブル14[[#This Row],[変更種別]]="削除","2",IF(テーブル14[[#This Row],[_ex2]]="","1",""))</f>
        <v/>
      </c>
      <c r="R45" s="22" t="str">
        <f>IF(テーブル14[[#This Row],[変更種別]]="新規","",テーブル14[[#This Row],[id]])</f>
        <v>2724d7fe-365e-476d-b7e5-b69a92e7ab02</v>
      </c>
      <c r="S45" s="22" t="str">
        <f>IF(テーブル14[[#This Row],[変更種別]]="削除",
       "",
       IF(テーブル14[[#This Row],[title / 変更]]="",テーブル14[[#This Row],[title]],テーブル14[[#This Row],[title / 変更]]))</f>
        <v>社内負担金制度について</v>
      </c>
      <c r="T45" s="22" t="str">
        <f>IF(テーブル14[[#This Row],[変更種別]]="削除",
       "",
       IF(テーブル14[[#This Row],[url / 変更]]="",テーブル14[[#This Row],[url]],テーブル14[[#This Row],[url / 変更]]))</f>
        <v>https://itochucorp.sharepoint.com/sites/intra-tokgn/Lists/List004/DispForm.aspx?ID=10</v>
      </c>
      <c r="U45" s="22" t="str">
        <f>IF(テーブル14[[#This Row],[変更種別]]="削除",
       "",
       IF(テーブル14[[#This Row],[keywords / 変更]]="",テーブル14[[#This Row],[keywords]],テーブル14[[#This Row],[keywords / 変更]]))</f>
        <v>[ "社内負担金" ]</v>
      </c>
      <c r="V45" s="22" t="str">
        <f>IF(テーブル14[[#This Row],[変更種別]]="削除",
       "",
       IF(テーブル14[[#This Row],[comment]]="","",テーブル14[[#This Row],[comment]]))</f>
        <v/>
      </c>
      <c r="W45" s="22" t="str">
        <f>IF(テーブル14[[#This Row],[変更種別]]="削除",
       "",
       IF(テーブル14[[#This Row],[priority / 変更後]]="",テーブル14[[#This Row],[priority]],テーブル14[[#This Row],[priority / 変更後]]))</f>
        <v>1</v>
      </c>
      <c r="X4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46" spans="1:24" ht="99.75" x14ac:dyDescent="0.25">
      <c r="A46" s="20" t="s">
        <v>773</v>
      </c>
      <c r="B46" s="20" t="s">
        <v>999</v>
      </c>
      <c r="C46" s="20" t="s">
        <v>451</v>
      </c>
      <c r="D46" s="20" t="s">
        <v>1020</v>
      </c>
      <c r="E46" s="20" t="s">
        <v>450</v>
      </c>
      <c r="F46" s="20" t="s">
        <v>837</v>
      </c>
      <c r="G46" s="20"/>
      <c r="H46" s="20" t="s">
        <v>999</v>
      </c>
      <c r="I46" s="21" t="s">
        <v>975</v>
      </c>
      <c r="J46" s="21" t="s">
        <v>1021</v>
      </c>
      <c r="K46" s="21" t="s">
        <v>1022</v>
      </c>
      <c r="L46" s="21"/>
      <c r="M46" s="21"/>
      <c r="N46" s="21" t="s">
        <v>1191</v>
      </c>
      <c r="O46" s="21"/>
      <c r="P46" s="22" t="str">
        <f>IF(_xlfn.CONCAT(テーブル14[[#This Row],[変更種別]:[keywords / 変更]])&lt;&gt;"","","*")</f>
        <v/>
      </c>
      <c r="Q46" s="22" t="str">
        <f>IF(テーブル14[[#This Row],[変更種別]]="削除","2",IF(テーブル14[[#This Row],[_ex2]]="","1",""))</f>
        <v>1</v>
      </c>
      <c r="R46" s="22" t="str">
        <f>IF(テーブル14[[#This Row],[変更種別]]="新規","",テーブル14[[#This Row],[id]])</f>
        <v>d6c000fc-be71-4fa4-9ff9-a76928017cd1</v>
      </c>
      <c r="S46" s="22" t="str">
        <f>IF(テーブル14[[#This Row],[変更種別]]="削除",
       "",
       IF(テーブル14[[#This Row],[title / 変更]]="",テーブル14[[#This Row],[title]],テーブル14[[#This Row],[title / 変更]]))</f>
        <v>2023年度社内負担金にかかる賦課単価について</v>
      </c>
      <c r="T46" s="22" t="str">
        <f>IF(テーブル14[[#This Row],[変更種別]]="削除",
       "",
       IF(テーブル14[[#This Row],[url / 変更]]="",テーブル14[[#This Row],[url]],テーブル14[[#This Row],[url / 変更]]))</f>
        <v>https://itochucorp.sharepoint.com/sites/intra-tokgn/Lists/List003/DispForm.aspx?ID=1415</v>
      </c>
      <c r="U46" s="22" t="str">
        <f>IF(テーブル14[[#This Row],[変更種別]]="削除",
       "",
       IF(テーブル14[[#This Row],[keywords / 変更]]="",テーブル14[[#This Row],[keywords]],テーブル14[[#This Row],[keywords / 変更]]))</f>
        <v>[ "社内負担金" ]</v>
      </c>
      <c r="V46" s="22" t="str">
        <f>IF(テーブル14[[#This Row],[変更種別]]="削除",
       "",
       IF(テーブル14[[#This Row],[comment]]="","",テーブル14[[#This Row],[comment]]))</f>
        <v/>
      </c>
      <c r="W46" s="22" t="str">
        <f>IF(テーブル14[[#This Row],[変更種別]]="削除",
       "",
       IF(テーブル14[[#This Row],[priority / 変更後]]="",テーブル14[[#This Row],[priority]],テーブル14[[#This Row],[priority / 変更後]]))</f>
        <v>2</v>
      </c>
      <c r="X4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前: 2017年度社内負担金にかかる賦課単価について
　後: 2023年度社内負担金にかかる賦課単価について
■ URL
　前: https://itochucorp.sharepoint.com/sites/intra-tokgn/Lists/List007/DispForm.aspx?ID=44
　後: https://itochucorp.sharepoint.com/sites/intra-tokgn/Lists/List003/DispForm.aspx?ID=1415
</v>
      </c>
    </row>
    <row r="47" spans="1:24" x14ac:dyDescent="0.25">
      <c r="A47" s="20" t="s">
        <v>773</v>
      </c>
      <c r="B47" s="20" t="s">
        <v>999</v>
      </c>
      <c r="C47" s="20" t="s">
        <v>484</v>
      </c>
      <c r="D47" s="20" t="s">
        <v>482</v>
      </c>
      <c r="E47" s="20" t="s">
        <v>483</v>
      </c>
      <c r="F47" s="20" t="s">
        <v>838</v>
      </c>
      <c r="G47" s="20"/>
      <c r="H47" s="20" t="s">
        <v>999</v>
      </c>
      <c r="I47" s="21"/>
      <c r="J47" s="21"/>
      <c r="K47" s="21"/>
      <c r="L47" s="21"/>
      <c r="M47" s="21"/>
      <c r="N47" s="21" t="s">
        <v>1189</v>
      </c>
      <c r="O47" s="21"/>
      <c r="P47" s="22" t="str">
        <f>IF(_xlfn.CONCAT(テーブル14[[#This Row],[変更種別]:[keywords / 変更]])&lt;&gt;"","","*")</f>
        <v>*</v>
      </c>
      <c r="Q47" s="22" t="str">
        <f>IF(テーブル14[[#This Row],[変更種別]]="削除","2",IF(テーブル14[[#This Row],[_ex2]]="","1",""))</f>
        <v/>
      </c>
      <c r="R47" s="22" t="str">
        <f>IF(テーブル14[[#This Row],[変更種別]]="新規","",テーブル14[[#This Row],[id]])</f>
        <v>7bd830e8-ee16-4529-869b-5ba70ccd2a1a</v>
      </c>
      <c r="S47" s="22" t="str">
        <f>IF(テーブル14[[#This Row],[変更種別]]="削除",
       "",
       IF(テーブル14[[#This Row],[title / 変更]]="",テーブル14[[#This Row],[title]],テーブル14[[#This Row],[title / 変更]]))</f>
        <v>商取引管理規程</v>
      </c>
      <c r="T47" s="22" t="str">
        <f>IF(テーブル14[[#This Row],[変更種別]]="削除",
       "",
       IF(テーブル14[[#This Row],[url / 変更]]="",テーブル14[[#This Row],[url]],テーブル14[[#This Row],[url / 変更]]))</f>
        <v>https://itochucorp.sharepoint.com/sites/intra-tokgn/Shared%20Documents/kitei/商取引管理規程2020年4月1日改定.pdf</v>
      </c>
      <c r="U47" s="22" t="str">
        <f>IF(テーブル14[[#This Row],[変更種別]]="削除",
       "",
       IF(テーブル14[[#This Row],[keywords / 変更]]="",テーブル14[[#This Row],[keywords]],テーブル14[[#This Row],[keywords / 変更]]))</f>
        <v>[ "商取引管理規定", "商取引管理規程" ]</v>
      </c>
      <c r="V47" s="22" t="str">
        <f>IF(テーブル14[[#This Row],[変更種別]]="削除",
       "",
       IF(テーブル14[[#This Row],[comment]]="","",テーブル14[[#This Row],[comment]]))</f>
        <v/>
      </c>
      <c r="W47" s="22" t="str">
        <f>IF(テーブル14[[#This Row],[変更種別]]="削除",
       "",
       IF(テーブル14[[#This Row],[priority / 変更後]]="",テーブル14[[#This Row],[priority]],テーブル14[[#This Row],[priority / 変更後]]))</f>
        <v>1</v>
      </c>
      <c r="X4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48" spans="1:24" ht="57" x14ac:dyDescent="0.25">
      <c r="A48" s="20" t="s">
        <v>773</v>
      </c>
      <c r="B48" s="20" t="s">
        <v>999</v>
      </c>
      <c r="C48" s="20" t="s">
        <v>481</v>
      </c>
      <c r="D48" s="20" t="s">
        <v>480</v>
      </c>
      <c r="E48" s="20" t="s">
        <v>839</v>
      </c>
      <c r="F48" s="20" t="s">
        <v>838</v>
      </c>
      <c r="G48" s="20"/>
      <c r="H48" s="20" t="s">
        <v>999</v>
      </c>
      <c r="I48" s="21" t="s">
        <v>975</v>
      </c>
      <c r="J48" s="21"/>
      <c r="K48" s="21" t="s">
        <v>1023</v>
      </c>
      <c r="L48" s="21"/>
      <c r="M48" s="21"/>
      <c r="N48" s="21" t="s">
        <v>1191</v>
      </c>
      <c r="O48" s="21"/>
      <c r="P48" s="22" t="str">
        <f>IF(_xlfn.CONCAT(テーブル14[[#This Row],[変更種別]:[keywords / 変更]])&lt;&gt;"","","*")</f>
        <v/>
      </c>
      <c r="Q48" s="22" t="str">
        <f>IF(テーブル14[[#This Row],[変更種別]]="削除","2",IF(テーブル14[[#This Row],[_ex2]]="","1",""))</f>
        <v>1</v>
      </c>
      <c r="R48" s="22" t="str">
        <f>IF(テーブル14[[#This Row],[変更種別]]="新規","",テーブル14[[#This Row],[id]])</f>
        <v>e4fc1d25-5b58-41e9-a561-939b5df12932</v>
      </c>
      <c r="S48" s="22" t="str">
        <f>IF(テーブル14[[#This Row],[変更種別]]="削除",
       "",
       IF(テーブル14[[#This Row],[title / 変更]]="",テーブル14[[#This Row],[title]],テーブル14[[#This Row],[title / 変更]]))</f>
        <v>商取引管理規程 解説書</v>
      </c>
      <c r="T48" s="22" t="str">
        <f>IF(テーブル14[[#This Row],[変更種別]]="削除",
       "",
       IF(テーブル14[[#This Row],[url / 変更]]="",テーブル14[[#This Row],[url]],テーブル14[[#This Row],[url / 変更]]))</f>
        <v>https://itochucorp.sharepoint.com/sites/intra-tokgn/Shared%20Documents/kitei/商取引管理規程解説書_230401.pdf</v>
      </c>
      <c r="U48" s="22" t="str">
        <f>IF(テーブル14[[#This Row],[変更種別]]="削除",
       "",
       IF(テーブル14[[#This Row],[keywords / 変更]]="",テーブル14[[#This Row],[keywords]],テーブル14[[#This Row],[keywords / 変更]]))</f>
        <v>[ "商取引管理規定", "商取引管理規程" ]</v>
      </c>
      <c r="V48" s="22" t="str">
        <f>IF(テーブル14[[#This Row],[変更種別]]="削除",
       "",
       IF(テーブル14[[#This Row],[comment]]="","",テーブル14[[#This Row],[comment]]))</f>
        <v/>
      </c>
      <c r="W48" s="22" t="str">
        <f>IF(テーブル14[[#This Row],[変更種別]]="削除",
       "",
       IF(テーブル14[[#This Row],[priority / 変更後]]="",テーブル14[[#This Row],[priority]],テーブル14[[#This Row],[priority / 変更後]]))</f>
        <v>2</v>
      </c>
      <c r="X4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ochu.co.jp/sites/tokgn/Shared%20Documents/kitei/商取引管理規程解説書（和文）.pdf
　後: https://itochucorp.sharepoint.com/sites/intra-tokgn/Shared%20Documents/kitei/商取引管理規程解説書_230401.pdf
</v>
      </c>
    </row>
    <row r="49" spans="1:24" x14ac:dyDescent="0.25">
      <c r="A49" s="20" t="s">
        <v>773</v>
      </c>
      <c r="B49" s="20" t="s">
        <v>999</v>
      </c>
      <c r="C49" s="20" t="s">
        <v>233</v>
      </c>
      <c r="D49" s="20" t="s">
        <v>231</v>
      </c>
      <c r="E49" s="20" t="s">
        <v>232</v>
      </c>
      <c r="F49" s="20" t="s">
        <v>840</v>
      </c>
      <c r="G49" s="20"/>
      <c r="H49" s="20" t="s">
        <v>999</v>
      </c>
      <c r="I49" s="21"/>
      <c r="J49" s="21"/>
      <c r="K49" s="21"/>
      <c r="L49" s="21"/>
      <c r="M49" s="21"/>
      <c r="N49" s="21" t="s">
        <v>1189</v>
      </c>
      <c r="O49" s="21"/>
      <c r="P49" s="22" t="str">
        <f>IF(_xlfn.CONCAT(テーブル14[[#This Row],[変更種別]:[keywords / 変更]])&lt;&gt;"","","*")</f>
        <v>*</v>
      </c>
      <c r="Q49" s="22" t="str">
        <f>IF(テーブル14[[#This Row],[変更種別]]="削除","2",IF(テーブル14[[#This Row],[_ex2]]="","1",""))</f>
        <v/>
      </c>
      <c r="R49" s="22" t="str">
        <f>IF(テーブル14[[#This Row],[変更種別]]="新規","",テーブル14[[#This Row],[id]])</f>
        <v>2957a84a-b5c8-4dbb-b082-63cc25bd129b</v>
      </c>
      <c r="S49" s="22" t="str">
        <f>IF(テーブル14[[#This Row],[変更種別]]="削除",
       "",
       IF(テーブル14[[#This Row],[title / 変更]]="",テーブル14[[#This Row],[title]],テーブル14[[#This Row],[title / 変更]]))</f>
        <v>タイプ別仕訳分析表</v>
      </c>
      <c r="T49" s="22" t="str">
        <f>IF(テーブル14[[#This Row],[変更種別]]="削除",
       "",
       IF(テーブル14[[#This Row],[url / 変更]]="",テーブル14[[#This Row],[url]],テーブル14[[#This Row],[url / 変更]]))</f>
        <v>https://itochucorp.sharepoint.com/sites/intra-tokgn/Shared Documents/ren/manual/chohyo_kakuron2010.xlsb</v>
      </c>
      <c r="U49" s="22" t="str">
        <f>IF(テーブル14[[#This Row],[変更種別]]="削除",
       "",
       IF(テーブル14[[#This Row],[keywords / 変更]]="",テーブル14[[#This Row],[keywords]],テーブル14[[#This Row],[keywords / 変更]]))</f>
        <v>[ "タイプ別仕訳分析表" ]</v>
      </c>
      <c r="V49" s="22" t="str">
        <f>IF(テーブル14[[#This Row],[変更種別]]="削除",
       "",
       IF(テーブル14[[#This Row],[comment]]="","",テーブル14[[#This Row],[comment]]))</f>
        <v/>
      </c>
      <c r="W49" s="22" t="str">
        <f>IF(テーブル14[[#This Row],[変更種別]]="削除",
       "",
       IF(テーブル14[[#This Row],[priority / 変更後]]="",テーブル14[[#This Row],[priority]],テーブル14[[#This Row],[priority / 変更後]]))</f>
        <v>1</v>
      </c>
      <c r="X4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50" spans="1:24" x14ac:dyDescent="0.25">
      <c r="A50" s="20" t="s">
        <v>773</v>
      </c>
      <c r="B50" s="20" t="s">
        <v>999</v>
      </c>
      <c r="C50" s="20" t="s">
        <v>421</v>
      </c>
      <c r="D50" s="20" t="s">
        <v>419</v>
      </c>
      <c r="E50" s="20" t="s">
        <v>420</v>
      </c>
      <c r="F50" s="20" t="s">
        <v>841</v>
      </c>
      <c r="G50" s="20"/>
      <c r="H50" s="20" t="s">
        <v>999</v>
      </c>
      <c r="I50" s="21"/>
      <c r="J50" s="21"/>
      <c r="K50" s="21"/>
      <c r="L50" s="21"/>
      <c r="M50" s="21"/>
      <c r="N50" s="21" t="s">
        <v>1189</v>
      </c>
      <c r="O50" s="21"/>
      <c r="P50" s="22" t="str">
        <f>IF(_xlfn.CONCAT(テーブル14[[#This Row],[変更種別]:[keywords / 変更]])&lt;&gt;"","","*")</f>
        <v>*</v>
      </c>
      <c r="Q50" s="22" t="str">
        <f>IF(テーブル14[[#This Row],[変更種別]]="削除","2",IF(テーブル14[[#This Row],[_ex2]]="","1",""))</f>
        <v/>
      </c>
      <c r="R50" s="22" t="str">
        <f>IF(テーブル14[[#This Row],[変更種別]]="新規","",テーブル14[[#This Row],[id]])</f>
        <v>11b69121-c241-458c-b769-30f7874fcd14</v>
      </c>
      <c r="S50" s="22" t="str">
        <f>IF(テーブル14[[#This Row],[変更種別]]="削除",
       "",
       IF(テーブル14[[#This Row],[title / 変更]]="",テーブル14[[#This Row],[title]],テーブル14[[#This Row],[title / 変更]]))</f>
        <v>連結対象会社</v>
      </c>
      <c r="T50" s="22" t="str">
        <f>IF(テーブル14[[#This Row],[変更種別]]="削除",
       "",
       IF(テーブル14[[#This Row],[url / 変更]]="",テーブル14[[#This Row],[url]],テーブル14[[#This Row],[url / 変更]]))</f>
        <v>https://itochucorp.sharepoint.com/sites/intra-tokgn/SitePages/ren/kaisha/連結対象会社.aspx</v>
      </c>
      <c r="U50" s="22" t="str">
        <f>IF(テーブル14[[#This Row],[変更種別]]="削除",
       "",
       IF(テーブル14[[#This Row],[keywords / 変更]]="",テーブル14[[#This Row],[keywords]],テーブル14[[#This Row],[keywords / 変更]]))</f>
        <v>[ "事業会社区分" ]</v>
      </c>
      <c r="V50" s="22" t="str">
        <f>IF(テーブル14[[#This Row],[変更種別]]="削除",
       "",
       IF(テーブル14[[#This Row],[comment]]="","",テーブル14[[#This Row],[comment]]))</f>
        <v/>
      </c>
      <c r="W50" s="22" t="str">
        <f>IF(テーブル14[[#This Row],[変更種別]]="削除",
       "",
       IF(テーブル14[[#This Row],[priority / 変更後]]="",テーブル14[[#This Row],[priority]],テーブル14[[#This Row],[priority / 変更後]]))</f>
        <v>1</v>
      </c>
      <c r="X5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51" spans="1:24" x14ac:dyDescent="0.25">
      <c r="A51" s="20" t="s">
        <v>773</v>
      </c>
      <c r="B51" s="20" t="s">
        <v>999</v>
      </c>
      <c r="C51" s="20" t="s">
        <v>675</v>
      </c>
      <c r="D51" s="20" t="s">
        <v>673</v>
      </c>
      <c r="E51" s="20" t="s">
        <v>674</v>
      </c>
      <c r="F51" s="20" t="s">
        <v>842</v>
      </c>
      <c r="G51" s="20"/>
      <c r="H51" s="20" t="s">
        <v>999</v>
      </c>
      <c r="I51" s="21"/>
      <c r="J51" s="21"/>
      <c r="K51" s="21"/>
      <c r="L51" s="21"/>
      <c r="M51" s="21"/>
      <c r="N51" s="21" t="s">
        <v>1189</v>
      </c>
      <c r="O51" s="21"/>
      <c r="P51" s="22" t="str">
        <f>IF(_xlfn.CONCAT(テーブル14[[#This Row],[変更種別]:[keywords / 変更]])&lt;&gt;"","","*")</f>
        <v>*</v>
      </c>
      <c r="Q51" s="22" t="str">
        <f>IF(テーブル14[[#This Row],[変更種別]]="削除","2",IF(テーブル14[[#This Row],[_ex2]]="","1",""))</f>
        <v/>
      </c>
      <c r="R51" s="22" t="str">
        <f>IF(テーブル14[[#This Row],[変更種別]]="新規","",テーブル14[[#This Row],[id]])</f>
        <v>bd71fe89-2d92-43d6-9051-e00efb8886ff</v>
      </c>
      <c r="S51" s="22" t="str">
        <f>IF(テーブル14[[#This Row],[変更種別]]="削除",
       "",
       IF(テーブル14[[#This Row],[title / 変更]]="",テーブル14[[#This Row],[title]],テーブル14[[#This Row],[title / 変更]]))</f>
        <v>役務口銭ノ経理処理ニツイテ</v>
      </c>
      <c r="T51" s="22" t="str">
        <f>IF(テーブル14[[#This Row],[変更種別]]="削除",
       "",
       IF(テーブル14[[#This Row],[url / 変更]]="",テーブル14[[#This Row],[url]],テーブル14[[#This Row],[url / 変更]]))</f>
        <v>https://itochucorp.sharepoint.com/sites/intra-tokgn/Lists/List004/DispForm.aspx?ID=395</v>
      </c>
      <c r="U51" s="22" t="str">
        <f>IF(テーブル14[[#This Row],[変更種別]]="削除",
       "",
       IF(テーブル14[[#This Row],[keywords / 変更]]="",テーブル14[[#This Row],[keywords]],テーブル14[[#This Row],[keywords / 変更]]))</f>
        <v>[ "役務口銭" ]</v>
      </c>
      <c r="V51" s="22" t="str">
        <f>IF(テーブル14[[#This Row],[変更種別]]="削除",
       "",
       IF(テーブル14[[#This Row],[comment]]="","",テーブル14[[#This Row],[comment]]))</f>
        <v/>
      </c>
      <c r="W51" s="22" t="str">
        <f>IF(テーブル14[[#This Row],[変更種別]]="削除",
       "",
       IF(テーブル14[[#This Row],[priority / 変更後]]="",テーブル14[[#This Row],[priority]],テーブル14[[#This Row],[priority / 変更後]]))</f>
        <v>1</v>
      </c>
      <c r="X5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52" spans="1:24" ht="57" x14ac:dyDescent="0.25">
      <c r="A52" s="20" t="s">
        <v>773</v>
      </c>
      <c r="B52" s="20" t="s">
        <v>999</v>
      </c>
      <c r="C52" s="20" t="s">
        <v>183</v>
      </c>
      <c r="D52" s="20" t="s">
        <v>181</v>
      </c>
      <c r="E52" s="20" t="s">
        <v>182</v>
      </c>
      <c r="F52" s="20" t="s">
        <v>843</v>
      </c>
      <c r="G52" s="20"/>
      <c r="H52" s="20" t="s">
        <v>999</v>
      </c>
      <c r="I52" s="21" t="s">
        <v>975</v>
      </c>
      <c r="J52" s="21"/>
      <c r="K52" s="21"/>
      <c r="L52" s="21" t="s">
        <v>1024</v>
      </c>
      <c r="M52" s="21"/>
      <c r="N52" s="21" t="s">
        <v>1189</v>
      </c>
      <c r="O52" s="21"/>
      <c r="P52" s="22" t="str">
        <f>IF(_xlfn.CONCAT(テーブル14[[#This Row],[変更種別]:[keywords / 変更]])&lt;&gt;"","","*")</f>
        <v/>
      </c>
      <c r="Q52" s="22" t="str">
        <f>IF(テーブル14[[#This Row],[変更種別]]="削除","2",IF(テーブル14[[#This Row],[_ex2]]="","1",""))</f>
        <v>1</v>
      </c>
      <c r="R52" s="22" t="str">
        <f>IF(テーブル14[[#This Row],[変更種別]]="新規","",テーブル14[[#This Row],[id]])</f>
        <v>dbf307dd-35f4-4728-af5e-6fc0be40e1e4</v>
      </c>
      <c r="S52" s="22" t="str">
        <f>IF(テーブル14[[#This Row],[変更種別]]="削除",
       "",
       IF(テーブル14[[#This Row],[title / 変更]]="",テーブル14[[#This Row],[title]],テーブル14[[#This Row],[title / 変更]]))</f>
        <v>海外店向け分与口銭に係る付加価値税の件</v>
      </c>
      <c r="T52" s="22" t="str">
        <f>IF(テーブル14[[#This Row],[変更種別]]="削除",
       "",
       IF(テーブル14[[#This Row],[url / 変更]]="",テーブル14[[#This Row],[url]],テーブル14[[#This Row],[url / 変更]]))</f>
        <v>https://itochucorp.sharepoint.com/sites/intra-tokgn/Lists/List007/DispForm.aspx?ID=9</v>
      </c>
      <c r="U52" s="22" t="str">
        <f>IF(テーブル14[[#This Row],[変更種別]]="削除",
       "",
       IF(テーブル14[[#This Row],[keywords / 変更]]="",テーブル14[[#This Row],[keywords]],テーブル14[[#This Row],[keywords / 変更]]))</f>
        <v>[ "vat", "ｖａｔ", "付加価値税" ]</v>
      </c>
      <c r="V52" s="22" t="str">
        <f>IF(テーブル14[[#This Row],[変更種別]]="削除",
       "",
       IF(テーブル14[[#This Row],[comment]]="","",テーブル14[[#This Row],[comment]]))</f>
        <v/>
      </c>
      <c r="W52" s="22" t="str">
        <f>IF(テーブル14[[#This Row],[変更種別]]="削除",
       "",
       IF(テーブル14[[#This Row],[priority / 変更後]]="",テーブル14[[#This Row],[priority]],テーブル14[[#This Row],[priority / 変更後]]))</f>
        <v>1</v>
      </c>
      <c r="X5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"vat", "付加価値税" ]
　後: [ "vat", "ｖａｔ", "付加価値税" ]
</v>
      </c>
    </row>
    <row r="53" spans="1:24" x14ac:dyDescent="0.25">
      <c r="A53" s="20" t="s">
        <v>773</v>
      </c>
      <c r="B53" s="20" t="s">
        <v>999</v>
      </c>
      <c r="C53" s="20" t="s">
        <v>466</v>
      </c>
      <c r="D53" s="20" t="s">
        <v>464</v>
      </c>
      <c r="E53" s="20" t="s">
        <v>465</v>
      </c>
      <c r="F53" s="20" t="s">
        <v>844</v>
      </c>
      <c r="G53" s="20"/>
      <c r="H53" s="20" t="s">
        <v>999</v>
      </c>
      <c r="I53" s="21"/>
      <c r="J53" s="21"/>
      <c r="K53" s="21"/>
      <c r="L53" s="21"/>
      <c r="M53" s="21"/>
      <c r="N53" s="21" t="s">
        <v>1189</v>
      </c>
      <c r="O53" s="21"/>
      <c r="P53" s="22" t="str">
        <f>IF(_xlfn.CONCAT(テーブル14[[#This Row],[変更種別]:[keywords / 変更]])&lt;&gt;"","","*")</f>
        <v>*</v>
      </c>
      <c r="Q53" s="22" t="str">
        <f>IF(テーブル14[[#This Row],[変更種別]]="削除","2",IF(テーブル14[[#This Row],[_ex2]]="","1",""))</f>
        <v/>
      </c>
      <c r="R53" s="22" t="str">
        <f>IF(テーブル14[[#This Row],[変更種別]]="新規","",テーブル14[[#This Row],[id]])</f>
        <v>1f9958a6-a6f0-4eb0-aca2-3f2e05e8d9a8</v>
      </c>
      <c r="S53" s="22" t="str">
        <f>IF(テーブル14[[#This Row],[変更種別]]="削除",
       "",
       IF(テーブル14[[#This Row],[title / 変更]]="",テーブル14[[#This Row],[title]],テーブル14[[#This Row],[title / 変更]]))</f>
        <v>国内受取配当金に係る社内税金還付方法の改訂</v>
      </c>
      <c r="T53" s="22" t="str">
        <f>IF(テーブル14[[#This Row],[変更種別]]="削除",
       "",
       IF(テーブル14[[#This Row],[url / 変更]]="",テーブル14[[#This Row],[url]],テーブル14[[#This Row],[url / 変更]]))</f>
        <v>https://itochucorp.sharepoint.com/sites/intra-tokgn/Lists/List004/DispForm.aspx?ID=14</v>
      </c>
      <c r="U53" s="22" t="str">
        <f>IF(テーブル14[[#This Row],[変更種別]]="削除",
       "",
       IF(テーブル14[[#This Row],[keywords / 変更]]="",テーブル14[[#This Row],[keywords]],テーブル14[[#This Row],[keywords / 変更]]))</f>
        <v>[ "受取配当金" ]</v>
      </c>
      <c r="V53" s="22" t="str">
        <f>IF(テーブル14[[#This Row],[変更種別]]="削除",
       "",
       IF(テーブル14[[#This Row],[comment]]="","",テーブル14[[#This Row],[comment]]))</f>
        <v/>
      </c>
      <c r="W53" s="22" t="str">
        <f>IF(テーブル14[[#This Row],[変更種別]]="削除",
       "",
       IF(テーブル14[[#This Row],[priority / 変更後]]="",テーブル14[[#This Row],[priority]],テーブル14[[#This Row],[priority / 変更後]]))</f>
        <v>1</v>
      </c>
      <c r="X5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54" spans="1:24" x14ac:dyDescent="0.25">
      <c r="A54" s="20" t="s">
        <v>773</v>
      </c>
      <c r="B54" s="20" t="s">
        <v>999</v>
      </c>
      <c r="C54" s="20" t="s">
        <v>409</v>
      </c>
      <c r="D54" s="20" t="s">
        <v>407</v>
      </c>
      <c r="E54" s="20" t="s">
        <v>408</v>
      </c>
      <c r="F54" s="20" t="s">
        <v>845</v>
      </c>
      <c r="G54" s="20"/>
      <c r="H54" s="20" t="s">
        <v>999</v>
      </c>
      <c r="I54" s="21"/>
      <c r="J54" s="21"/>
      <c r="K54" s="21"/>
      <c r="L54" s="21"/>
      <c r="M54" s="21"/>
      <c r="N54" s="21" t="s">
        <v>1189</v>
      </c>
      <c r="O54" s="21"/>
      <c r="P54" s="22" t="str">
        <f>IF(_xlfn.CONCAT(テーブル14[[#This Row],[変更種別]:[keywords / 変更]])&lt;&gt;"","","*")</f>
        <v>*</v>
      </c>
      <c r="Q54" s="22" t="str">
        <f>IF(テーブル14[[#This Row],[変更種別]]="削除","2",IF(テーブル14[[#This Row],[_ex2]]="","1",""))</f>
        <v/>
      </c>
      <c r="R54" s="22" t="str">
        <f>IF(テーブル14[[#This Row],[変更種別]]="新規","",テーブル14[[#This Row],[id]])</f>
        <v>afe60f71-cf87-49f8-92d5-bc3398e74227</v>
      </c>
      <c r="S54" s="22" t="str">
        <f>IF(テーブル14[[#This Row],[変更種別]]="削除",
       "",
       IF(テーブル14[[#This Row],[title / 変更]]="",テーブル14[[#This Row],[title]],テーブル14[[#This Row],[title / 変更]]))</f>
        <v>債権債務残高確認実施基準改訂の件</v>
      </c>
      <c r="T54" s="22" t="str">
        <f>IF(テーブル14[[#This Row],[変更種別]]="削除",
       "",
       IF(テーブル14[[#This Row],[url / 変更]]="",テーブル14[[#This Row],[url]],テーブル14[[#This Row],[url / 変更]]))</f>
        <v>https://itochucorp.sharepoint.com/sites/intra-tokgn/Lists/List004/DispForm.aspx?ID=937</v>
      </c>
      <c r="U54" s="22" t="str">
        <f>IF(テーブル14[[#This Row],[変更種別]]="削除",
       "",
       IF(テーブル14[[#This Row],[keywords / 変更]]="",テーブル14[[#This Row],[keywords]],テーブル14[[#This Row],[keywords / 変更]]))</f>
        <v>[ "残高確認" ]</v>
      </c>
      <c r="V54" s="22" t="str">
        <f>IF(テーブル14[[#This Row],[変更種別]]="削除",
       "",
       IF(テーブル14[[#This Row],[comment]]="","",テーブル14[[#This Row],[comment]]))</f>
        <v/>
      </c>
      <c r="W54" s="22" t="str">
        <f>IF(テーブル14[[#This Row],[変更種別]]="削除",
       "",
       IF(テーブル14[[#This Row],[priority / 変更後]]="",テーブル14[[#This Row],[priority]],テーブル14[[#This Row],[priority / 変更後]]))</f>
        <v>1</v>
      </c>
      <c r="X5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55" spans="1:24" x14ac:dyDescent="0.25">
      <c r="A55" s="20" t="s">
        <v>773</v>
      </c>
      <c r="B55" s="20" t="s">
        <v>999</v>
      </c>
      <c r="C55" s="20" t="s">
        <v>379</v>
      </c>
      <c r="D55" s="20" t="s">
        <v>377</v>
      </c>
      <c r="E55" s="20" t="s">
        <v>378</v>
      </c>
      <c r="F55" s="20" t="s">
        <v>846</v>
      </c>
      <c r="G55" s="20"/>
      <c r="H55" s="20" t="s">
        <v>999</v>
      </c>
      <c r="I55" s="21"/>
      <c r="J55" s="21"/>
      <c r="K55" s="21"/>
      <c r="L55" s="21"/>
      <c r="M55" s="21"/>
      <c r="N55" s="21" t="s">
        <v>1189</v>
      </c>
      <c r="O55" s="21"/>
      <c r="P55" s="22" t="str">
        <f>IF(_xlfn.CONCAT(テーブル14[[#This Row],[変更種別]:[keywords / 変更]])&lt;&gt;"","","*")</f>
        <v>*</v>
      </c>
      <c r="Q55" s="22" t="str">
        <f>IF(テーブル14[[#This Row],[変更種別]]="削除","2",IF(テーブル14[[#This Row],[_ex2]]="","1",""))</f>
        <v/>
      </c>
      <c r="R55" s="22" t="str">
        <f>IF(テーブル14[[#This Row],[変更種別]]="新規","",テーブル14[[#This Row],[id]])</f>
        <v>64840476-0dd2-4fd0-8bf9-79731d248751</v>
      </c>
      <c r="S55" s="22" t="str">
        <f>IF(テーブル14[[#This Row],[変更種別]]="削除",
       "",
       IF(テーブル14[[#This Row],[title / 変更]]="",テーブル14[[#This Row],[title]],テーブル14[[#This Row],[title / 変更]]))</f>
        <v>経費支払事後点検実施要領</v>
      </c>
      <c r="T55" s="22" t="str">
        <f>IF(テーブル14[[#This Row],[変更種別]]="削除",
       "",
       IF(テーブル14[[#This Row],[url / 変更]]="",テーブル14[[#This Row],[url]],テーブル14[[#This Row],[url / 変更]]))</f>
        <v>https://itochucorp.sharepoint.com/sites/intra-tokgn/Lists/List004/DispForm.aspx?ID=957</v>
      </c>
      <c r="U55" s="22" t="str">
        <f>IF(テーブル14[[#This Row],[変更種別]]="削除",
       "",
       IF(テーブル14[[#This Row],[keywords / 変更]]="",テーブル14[[#This Row],[keywords]],テーブル14[[#This Row],[keywords / 変更]]))</f>
        <v>[ "経費支払事後点検" ]</v>
      </c>
      <c r="V55" s="22" t="str">
        <f>IF(テーブル14[[#This Row],[変更種別]]="削除",
       "",
       IF(テーブル14[[#This Row],[comment]]="","",テーブル14[[#This Row],[comment]]))</f>
        <v/>
      </c>
      <c r="W55" s="22" t="str">
        <f>IF(テーブル14[[#This Row],[変更種別]]="削除",
       "",
       IF(テーブル14[[#This Row],[priority / 変更後]]="",テーブル14[[#This Row],[priority]],テーブル14[[#This Row],[priority / 変更後]]))</f>
        <v>1</v>
      </c>
      <c r="X5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56" spans="1:24" x14ac:dyDescent="0.25">
      <c r="A56" s="20" t="s">
        <v>773</v>
      </c>
      <c r="B56" s="20" t="s">
        <v>999</v>
      </c>
      <c r="C56" s="20" t="s">
        <v>533</v>
      </c>
      <c r="D56" s="20" t="s">
        <v>531</v>
      </c>
      <c r="E56" s="20" t="s">
        <v>532</v>
      </c>
      <c r="F56" s="20" t="s">
        <v>847</v>
      </c>
      <c r="G56" s="20"/>
      <c r="H56" s="20" t="s">
        <v>999</v>
      </c>
      <c r="I56" s="21"/>
      <c r="J56" s="21"/>
      <c r="K56" s="21"/>
      <c r="L56" s="21"/>
      <c r="M56" s="21"/>
      <c r="N56" s="21" t="s">
        <v>1189</v>
      </c>
      <c r="O56" s="21"/>
      <c r="P56" s="22" t="str">
        <f>IF(_xlfn.CONCAT(テーブル14[[#This Row],[変更種別]:[keywords / 変更]])&lt;&gt;"","","*")</f>
        <v>*</v>
      </c>
      <c r="Q56" s="22" t="str">
        <f>IF(テーブル14[[#This Row],[変更種別]]="削除","2",IF(テーブル14[[#This Row],[_ex2]]="","1",""))</f>
        <v/>
      </c>
      <c r="R56" s="22" t="str">
        <f>IF(テーブル14[[#This Row],[変更種別]]="新規","",テーブル14[[#This Row],[id]])</f>
        <v>de924ace-2a16-42ec-b923-a01a842e6e0b</v>
      </c>
      <c r="S56" s="22" t="str">
        <f>IF(テーブル14[[#This Row],[変更種別]]="削除",
       "",
       IF(テーブル14[[#This Row],[title / 変更]]="",テーブル14[[#This Row],[title]],テーブル14[[#This Row],[title / 変更]]))</f>
        <v>帳簿点検の実施要領</v>
      </c>
      <c r="T56" s="22" t="str">
        <f>IF(テーブル14[[#This Row],[変更種別]]="削除",
       "",
       IF(テーブル14[[#This Row],[url / 変更]]="",テーブル14[[#This Row],[url]],テーブル14[[#This Row],[url / 変更]]))</f>
        <v>https://itochucorp.sharepoint.com/sites/intra-tokgn/Lists/List004/DispForm.aspx?ID=907</v>
      </c>
      <c r="U56" s="22" t="str">
        <f>IF(テーブル14[[#This Row],[変更種別]]="削除",
       "",
       IF(テーブル14[[#This Row],[keywords / 変更]]="",テーブル14[[#This Row],[keywords]],テーブル14[[#This Row],[keywords / 変更]]))</f>
        <v>[ "帳簿点検" ]</v>
      </c>
      <c r="V56" s="22" t="str">
        <f>IF(テーブル14[[#This Row],[変更種別]]="削除",
       "",
       IF(テーブル14[[#This Row],[comment]]="","",テーブル14[[#This Row],[comment]]))</f>
        <v/>
      </c>
      <c r="W56" s="22" t="str">
        <f>IF(テーブル14[[#This Row],[変更種別]]="削除",
       "",
       IF(テーブル14[[#This Row],[priority / 変更後]]="",テーブル14[[#This Row],[priority]],テーブル14[[#This Row],[priority / 変更後]]))</f>
        <v>1</v>
      </c>
      <c r="X5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57" spans="1:24" ht="57" x14ac:dyDescent="0.25">
      <c r="A57" s="20" t="s">
        <v>773</v>
      </c>
      <c r="B57" s="20" t="s">
        <v>999</v>
      </c>
      <c r="C57" s="20" t="s">
        <v>241</v>
      </c>
      <c r="D57" s="20" t="s">
        <v>239</v>
      </c>
      <c r="E57" s="20" t="s">
        <v>1025</v>
      </c>
      <c r="F57" s="20" t="s">
        <v>848</v>
      </c>
      <c r="G57" s="20"/>
      <c r="H57" s="20" t="s">
        <v>999</v>
      </c>
      <c r="I57" s="21" t="s">
        <v>975</v>
      </c>
      <c r="J57" s="21"/>
      <c r="K57" s="21"/>
      <c r="L57" s="21" t="s">
        <v>1026</v>
      </c>
      <c r="M57" s="21"/>
      <c r="N57" s="21" t="s">
        <v>1189</v>
      </c>
      <c r="O57" s="21"/>
      <c r="P57" s="22" t="str">
        <f>IF(_xlfn.CONCAT(テーブル14[[#This Row],[変更種別]:[keywords / 変更]])&lt;&gt;"","","*")</f>
        <v/>
      </c>
      <c r="Q57" s="22" t="str">
        <f>IF(テーブル14[[#This Row],[変更種別]]="削除","2",IF(テーブル14[[#This Row],[_ex2]]="","1",""))</f>
        <v>1</v>
      </c>
      <c r="R57" s="22" t="str">
        <f>IF(テーブル14[[#This Row],[変更種別]]="新規","",テーブル14[[#This Row],[id]])</f>
        <v>c5800719-f4a8-4b23-8d03-35da18297a56</v>
      </c>
      <c r="S57" s="22" t="str">
        <f>IF(テーブル14[[#This Row],[変更種別]]="削除",
       "",
       IF(テーブル14[[#This Row],[title / 変更]]="",テーブル14[[#This Row],[title]],テーブル14[[#This Row],[title / 変更]]))</f>
        <v xml:space="preserve">デリバティブ取引に係る取扱い基準改訂の件 </v>
      </c>
      <c r="T57" s="22" t="str">
        <f>IF(テーブル14[[#This Row],[変更種別]]="削除",
       "",
       IF(テーブル14[[#This Row],[url / 変更]]="",テーブル14[[#This Row],[url]],テーブル14[[#This Row],[url / 変更]]))</f>
        <v>https://itochucorp.sharepoint.com/sites/intra-tokgn/Lists/List004/DispForm.aspx?ID=955</v>
      </c>
      <c r="U57" s="22" t="str">
        <f>IF(テーブル14[[#This Row],[変更種別]]="削除",
       "",
       IF(テーブル14[[#This Row],[keywords / 変更]]="",テーブル14[[#This Row],[keywords]],テーブル14[[#This Row],[keywords / 変更]]))</f>
        <v>[ "デリバティブ", "前払費用" ]</v>
      </c>
      <c r="V57" s="22" t="str">
        <f>IF(テーブル14[[#This Row],[変更種別]]="削除",
       "",
       IF(テーブル14[[#This Row],[comment]]="","",テーブル14[[#This Row],[comment]]))</f>
        <v/>
      </c>
      <c r="W57" s="22" t="str">
        <f>IF(テーブル14[[#This Row],[変更種別]]="削除",
       "",
       IF(テーブル14[[#This Row],[priority / 変更後]]="",テーブル14[[#This Row],[priority]],テーブル14[[#This Row],[priority / 変更後]]))</f>
        <v>1</v>
      </c>
      <c r="X5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"デリバティブ" ]
　後: [ "デリバティブ", "前払費用" ]
</v>
      </c>
    </row>
    <row r="58" spans="1:24" x14ac:dyDescent="0.25">
      <c r="A58" s="20" t="s">
        <v>773</v>
      </c>
      <c r="B58" s="20" t="s">
        <v>999</v>
      </c>
      <c r="C58" s="20" t="s">
        <v>244</v>
      </c>
      <c r="D58" s="20" t="s">
        <v>242</v>
      </c>
      <c r="E58" s="20" t="s">
        <v>243</v>
      </c>
      <c r="F58" s="20" t="s">
        <v>848</v>
      </c>
      <c r="G58" s="20"/>
      <c r="H58" s="20" t="s">
        <v>999</v>
      </c>
      <c r="I58" s="21" t="s">
        <v>1002</v>
      </c>
      <c r="J58" s="21"/>
      <c r="K58" s="21"/>
      <c r="L58" s="21"/>
      <c r="M58" s="21"/>
      <c r="N58" s="21"/>
      <c r="O58" s="21" t="s">
        <v>1027</v>
      </c>
      <c r="P58" s="22" t="str">
        <f>IF(_xlfn.CONCAT(テーブル14[[#This Row],[変更種別]:[keywords / 変更]])&lt;&gt;"","","*")</f>
        <v/>
      </c>
      <c r="Q58" s="22" t="str">
        <f>IF(テーブル14[[#This Row],[変更種別]]="削除","2",IF(テーブル14[[#This Row],[_ex2]]="","1",""))</f>
        <v>2</v>
      </c>
      <c r="R58" s="22" t="str">
        <f>IF(テーブル14[[#This Row],[変更種別]]="新規","",テーブル14[[#This Row],[id]])</f>
        <v>5ddd8f45-67dc-4522-9224-031896748f46</v>
      </c>
      <c r="S58" s="22" t="str">
        <f>IF(テーブル14[[#This Row],[変更種別]]="削除",
       "",
       IF(テーブル14[[#This Row],[title / 変更]]="",テーブル14[[#This Row],[title]],テーブル14[[#This Row],[title / 変更]]))</f>
        <v/>
      </c>
      <c r="T58" s="22" t="str">
        <f>IF(テーブル14[[#This Row],[変更種別]]="削除",
       "",
       IF(テーブル14[[#This Row],[url / 変更]]="",テーブル14[[#This Row],[url]],テーブル14[[#This Row],[url / 変更]]))</f>
        <v/>
      </c>
      <c r="U58" s="22" t="str">
        <f>IF(テーブル14[[#This Row],[変更種別]]="削除",
       "",
       IF(テーブル14[[#This Row],[keywords / 変更]]="",テーブル14[[#This Row],[keywords]],テーブル14[[#This Row],[keywords / 変更]]))</f>
        <v/>
      </c>
      <c r="V58" s="22" t="str">
        <f>IF(テーブル14[[#This Row],[変更種別]]="削除",
       "",
       IF(テーブル14[[#This Row],[comment]]="","",テーブル14[[#This Row],[comment]]))</f>
        <v/>
      </c>
      <c r="W58" s="22" t="str">
        <f>IF(テーブル14[[#This Row],[変更種別]]="削除",
       "",
       IF(テーブル14[[#This Row],[priority / 変更後]]="",テーブル14[[#This Row],[priority]],テーブル14[[#This Row],[priority / 変更後]]))</f>
        <v/>
      </c>
      <c r="X5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59" spans="1:24" x14ac:dyDescent="0.25">
      <c r="A59" s="20" t="s">
        <v>773</v>
      </c>
      <c r="B59" s="20" t="s">
        <v>999</v>
      </c>
      <c r="C59" s="20" t="s">
        <v>336</v>
      </c>
      <c r="D59" s="20" t="s">
        <v>334</v>
      </c>
      <c r="E59" s="20" t="s">
        <v>335</v>
      </c>
      <c r="F59" s="20" t="s">
        <v>849</v>
      </c>
      <c r="G59" s="20"/>
      <c r="H59" s="20" t="s">
        <v>999</v>
      </c>
      <c r="I59" s="21"/>
      <c r="J59" s="21"/>
      <c r="K59" s="21"/>
      <c r="L59" s="21"/>
      <c r="M59" s="21"/>
      <c r="N59" s="21" t="s">
        <v>1189</v>
      </c>
      <c r="O59" s="21"/>
      <c r="P59" s="22" t="str">
        <f>IF(_xlfn.CONCAT(テーブル14[[#This Row],[変更種別]:[keywords / 変更]])&lt;&gt;"","","*")</f>
        <v>*</v>
      </c>
      <c r="Q59" s="22" t="str">
        <f>IF(テーブル14[[#This Row],[変更種別]]="削除","2",IF(テーブル14[[#This Row],[_ex2]]="","1",""))</f>
        <v/>
      </c>
      <c r="R59" s="22" t="str">
        <f>IF(テーブル14[[#This Row],[変更種別]]="新規","",テーブル14[[#This Row],[id]])</f>
        <v>7dcc77fb-4583-45f7-905f-a85f8fd8183b</v>
      </c>
      <c r="S59" s="22" t="str">
        <f>IF(テーブル14[[#This Row],[変更種別]]="削除",
       "",
       IF(テーブル14[[#This Row],[title / 変更]]="",テーブル14[[#This Row],[title]],テーブル14[[#This Row],[title / 変更]]))</f>
        <v>外国源泉所得税の処理について</v>
      </c>
      <c r="T59" s="22" t="str">
        <f>IF(テーブル14[[#This Row],[変更種別]]="削除",
       "",
       IF(テーブル14[[#This Row],[url / 変更]]="",テーブル14[[#This Row],[url]],テーブル14[[#This Row],[url / 変更]]))</f>
        <v>https://itochucorp.sharepoint.com/sites/intra-tokgn/Lists/List004/DispForm.aspx?ID=892</v>
      </c>
      <c r="U59" s="22" t="str">
        <f>IF(テーブル14[[#This Row],[変更種別]]="削除",
       "",
       IF(テーブル14[[#This Row],[keywords / 変更]]="",テーブル14[[#This Row],[keywords]],テーブル14[[#This Row],[keywords / 変更]]))</f>
        <v>[ "外国税額控除" ]</v>
      </c>
      <c r="V59" s="22" t="str">
        <f>IF(テーブル14[[#This Row],[変更種別]]="削除",
       "",
       IF(テーブル14[[#This Row],[comment]]="","",テーブル14[[#This Row],[comment]]))</f>
        <v/>
      </c>
      <c r="W59" s="22" t="str">
        <f>IF(テーブル14[[#This Row],[変更種別]]="削除",
       "",
       IF(テーブル14[[#This Row],[priority / 変更後]]="",テーブル14[[#This Row],[priority]],テーブル14[[#This Row],[priority / 変更後]]))</f>
        <v>1</v>
      </c>
      <c r="X5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0" spans="1:24" x14ac:dyDescent="0.25">
      <c r="A60" s="20" t="s">
        <v>773</v>
      </c>
      <c r="B60" s="20" t="s">
        <v>999</v>
      </c>
      <c r="C60" s="20" t="s">
        <v>656</v>
      </c>
      <c r="D60" s="20" t="s">
        <v>654</v>
      </c>
      <c r="E60" s="20" t="s">
        <v>655</v>
      </c>
      <c r="F60" s="20" t="s">
        <v>850</v>
      </c>
      <c r="G60" s="20"/>
      <c r="H60" s="20" t="s">
        <v>999</v>
      </c>
      <c r="I60" s="21"/>
      <c r="J60" s="21"/>
      <c r="K60" s="21"/>
      <c r="L60" s="21"/>
      <c r="M60" s="21"/>
      <c r="N60" s="21" t="s">
        <v>1189</v>
      </c>
      <c r="O60" s="21"/>
      <c r="P60" s="22" t="str">
        <f>IF(_xlfn.CONCAT(テーブル14[[#This Row],[変更種別]:[keywords / 変更]])&lt;&gt;"","","*")</f>
        <v>*</v>
      </c>
      <c r="Q60" s="22" t="str">
        <f>IF(テーブル14[[#This Row],[変更種別]]="削除","2",IF(テーブル14[[#This Row],[_ex2]]="","1",""))</f>
        <v/>
      </c>
      <c r="R60" s="22" t="str">
        <f>IF(テーブル14[[#This Row],[変更種別]]="新規","",テーブル14[[#This Row],[id]])</f>
        <v>a903312b-db42-4777-8ce7-55ccbfebfc1c</v>
      </c>
      <c r="S60" s="22" t="str">
        <f>IF(テーブル14[[#This Row],[変更種別]]="削除",
       "",
       IF(テーブル14[[#This Row],[title / 変更]]="",テーブル14[[#This Row],[title]],テーブル14[[#This Row],[title / 変更]]))</f>
        <v>当社連結決算における連結対象会社の未分配剰余金に係る税効果の取扱について</v>
      </c>
      <c r="T60" s="22" t="str">
        <f>IF(テーブル14[[#This Row],[変更種別]]="削除",
       "",
       IF(テーブル14[[#This Row],[url / 変更]]="",テーブル14[[#This Row],[url]],テーブル14[[#This Row],[url / 変更]]))</f>
        <v>https://itochucorp.sharepoint.com/sites/intra-tokgn/Lists/List004/DispForm.aspx?ID=39</v>
      </c>
      <c r="U60" s="22" t="str">
        <f>IF(テーブル14[[#This Row],[変更種別]]="削除",
       "",
       IF(テーブル14[[#This Row],[keywords / 変更]]="",テーブル14[[#This Row],[keywords]],テーブル14[[#This Row],[keywords / 変更]]))</f>
        <v>[ "未分配剰余金", "未分配" ]</v>
      </c>
      <c r="V60" s="22" t="str">
        <f>IF(テーブル14[[#This Row],[変更種別]]="削除",
       "",
       IF(テーブル14[[#This Row],[comment]]="","",テーブル14[[#This Row],[comment]]))</f>
        <v/>
      </c>
      <c r="W60" s="22" t="str">
        <f>IF(テーブル14[[#This Row],[変更種別]]="削除",
       "",
       IF(テーブル14[[#This Row],[priority / 変更後]]="",テーブル14[[#This Row],[priority]],テーブル14[[#This Row],[priority / 変更後]]))</f>
        <v>1</v>
      </c>
      <c r="X6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1" spans="1:24" x14ac:dyDescent="0.25">
      <c r="A61" s="20" t="s">
        <v>773</v>
      </c>
      <c r="B61" s="20" t="s">
        <v>999</v>
      </c>
      <c r="C61" s="20" t="s">
        <v>555</v>
      </c>
      <c r="D61" s="20" t="s">
        <v>553</v>
      </c>
      <c r="E61" s="20" t="s">
        <v>554</v>
      </c>
      <c r="F61" s="20" t="s">
        <v>851</v>
      </c>
      <c r="G61" s="20"/>
      <c r="H61" s="20" t="s">
        <v>999</v>
      </c>
      <c r="I61" s="21"/>
      <c r="J61" s="21"/>
      <c r="K61" s="21"/>
      <c r="L61" s="21"/>
      <c r="M61" s="21"/>
      <c r="N61" s="21" t="s">
        <v>1189</v>
      </c>
      <c r="O61" s="21"/>
      <c r="P61" s="22" t="str">
        <f>IF(_xlfn.CONCAT(テーブル14[[#This Row],[変更種別]:[keywords / 変更]])&lt;&gt;"","","*")</f>
        <v>*</v>
      </c>
      <c r="Q61" s="22" t="str">
        <f>IF(テーブル14[[#This Row],[変更種別]]="削除","2",IF(テーブル14[[#This Row],[_ex2]]="","1",""))</f>
        <v/>
      </c>
      <c r="R61" s="22" t="str">
        <f>IF(テーブル14[[#This Row],[変更種別]]="新規","",テーブル14[[#This Row],[id]])</f>
        <v>80d19056-c0f3-4a76-8e23-ac4b503009d0</v>
      </c>
      <c r="S61" s="22" t="str">
        <f>IF(テーブル14[[#This Row],[変更種別]]="削除",
       "",
       IF(テーブル14[[#This Row],[title / 変更]]="",テーブル14[[#This Row],[title]],テーブル14[[#This Row],[title / 変更]]))</f>
        <v>分与口銭・定額口銭制度 改訂の件</v>
      </c>
      <c r="T61" s="22" t="str">
        <f>IF(テーブル14[[#This Row],[変更種別]]="削除",
       "",
       IF(テーブル14[[#This Row],[url / 変更]]="",テーブル14[[#This Row],[url]],テーブル14[[#This Row],[url / 変更]]))</f>
        <v>https://itochucorp.sharepoint.com/sites/intra-tokgn/Lists/List004/DispForm.aspx?ID=958</v>
      </c>
      <c r="U61" s="22" t="str">
        <f>IF(テーブル14[[#This Row],[変更種別]]="削除",
       "",
       IF(テーブル14[[#This Row],[keywords / 変更]]="",テーブル14[[#This Row],[keywords]],テーブル14[[#This Row],[keywords / 変更]]))</f>
        <v>[ "定額口銭", "分与口銭" ]</v>
      </c>
      <c r="V61" s="22" t="str">
        <f>IF(テーブル14[[#This Row],[変更種別]]="削除",
       "",
       IF(テーブル14[[#This Row],[comment]]="","",テーブル14[[#This Row],[comment]]))</f>
        <v/>
      </c>
      <c r="W61" s="22" t="str">
        <f>IF(テーブル14[[#This Row],[変更種別]]="削除",
       "",
       IF(テーブル14[[#This Row],[priority / 変更後]]="",テーブル14[[#This Row],[priority]],テーブル14[[#This Row],[priority / 変更後]]))</f>
        <v>1</v>
      </c>
      <c r="X6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2" spans="1:24" x14ac:dyDescent="0.25">
      <c r="A62" s="20" t="s">
        <v>773</v>
      </c>
      <c r="B62" s="20" t="s">
        <v>999</v>
      </c>
      <c r="C62" s="20" t="s">
        <v>512</v>
      </c>
      <c r="D62" s="20" t="s">
        <v>852</v>
      </c>
      <c r="E62" s="20" t="s">
        <v>511</v>
      </c>
      <c r="F62" s="20" t="s">
        <v>853</v>
      </c>
      <c r="G62" s="20"/>
      <c r="H62" s="20" t="s">
        <v>999</v>
      </c>
      <c r="I62" s="21"/>
      <c r="J62" s="21"/>
      <c r="K62" s="21"/>
      <c r="L62" s="21"/>
      <c r="M62" s="21"/>
      <c r="N62" s="21" t="s">
        <v>1189</v>
      </c>
      <c r="O62" s="21"/>
      <c r="P62" s="22" t="str">
        <f>IF(_xlfn.CONCAT(テーブル14[[#This Row],[変更種別]:[keywords / 変更]])&lt;&gt;"","","*")</f>
        <v>*</v>
      </c>
      <c r="Q62" s="22" t="str">
        <f>IF(テーブル14[[#This Row],[変更種別]]="削除","2",IF(テーブル14[[#This Row],[_ex2]]="","1",""))</f>
        <v/>
      </c>
      <c r="R62" s="22" t="str">
        <f>IF(テーブル14[[#This Row],[変更種別]]="新規","",テーブル14[[#This Row],[id]])</f>
        <v>eab50db4-2b98-40a0-be0e-91b5550b8730</v>
      </c>
      <c r="S62" s="22" t="str">
        <f>IF(テーブル14[[#This Row],[変更種別]]="削除",
       "",
       IF(テーブル14[[#This Row],[title / 変更]]="",テーブル14[[#This Row],[title]],テーブル14[[#This Row],[title / 変更]]))</f>
        <v xml:space="preserve">単体決算会計システム処理要領(青本)   </v>
      </c>
      <c r="T62" s="22" t="str">
        <f>IF(テーブル14[[#This Row],[変更種別]]="削除",
       "",
       IF(テーブル14[[#This Row],[url / 変更]]="",テーブル14[[#This Row],[url]],テーブル14[[#This Row],[url / 変更]]))</f>
        <v>https://itochucorp.sharepoint.com/sites/intra-tokgn/SitePages/system/bluebook/単体決算会計システム処理要領(青本).aspx</v>
      </c>
      <c r="U62" s="22" t="str">
        <f>IF(テーブル14[[#This Row],[変更種別]]="削除",
       "",
       IF(テーブル14[[#This Row],[keywords / 変更]]="",テーブル14[[#This Row],[keywords]],テーブル14[[#This Row],[keywords / 変更]]))</f>
        <v>[ "青本" ]</v>
      </c>
      <c r="V62" s="22" t="str">
        <f>IF(テーブル14[[#This Row],[変更種別]]="削除",
       "",
       IF(テーブル14[[#This Row],[comment]]="","",テーブル14[[#This Row],[comment]]))</f>
        <v/>
      </c>
      <c r="W62" s="22" t="str">
        <f>IF(テーブル14[[#This Row],[変更種別]]="削除",
       "",
       IF(テーブル14[[#This Row],[priority / 変更後]]="",テーブル14[[#This Row],[priority]],テーブル14[[#This Row],[priority / 変更後]]))</f>
        <v>1</v>
      </c>
      <c r="X6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3" spans="1:24" x14ac:dyDescent="0.25">
      <c r="A63" s="20" t="s">
        <v>773</v>
      </c>
      <c r="B63" s="20" t="s">
        <v>999</v>
      </c>
      <c r="C63" s="20" t="s">
        <v>343</v>
      </c>
      <c r="D63" s="20" t="s">
        <v>341</v>
      </c>
      <c r="E63" s="20" t="s">
        <v>342</v>
      </c>
      <c r="F63" s="20" t="s">
        <v>854</v>
      </c>
      <c r="G63" s="20"/>
      <c r="H63" s="20" t="s">
        <v>999</v>
      </c>
      <c r="I63" s="21"/>
      <c r="J63" s="21"/>
      <c r="K63" s="21"/>
      <c r="L63" s="21"/>
      <c r="M63" s="21"/>
      <c r="N63" s="21" t="s">
        <v>1189</v>
      </c>
      <c r="O63" s="21"/>
      <c r="P63" s="22" t="str">
        <f>IF(_xlfn.CONCAT(テーブル14[[#This Row],[変更種別]:[keywords / 変更]])&lt;&gt;"","","*")</f>
        <v>*</v>
      </c>
      <c r="Q63" s="22" t="str">
        <f>IF(テーブル14[[#This Row],[変更種別]]="削除","2",IF(テーブル14[[#This Row],[_ex2]]="","1",""))</f>
        <v/>
      </c>
      <c r="R63" s="22" t="str">
        <f>IF(テーブル14[[#This Row],[変更種別]]="新規","",テーブル14[[#This Row],[id]])</f>
        <v>d542b92f-9604-40c3-9988-e78aca6047e6</v>
      </c>
      <c r="S63" s="22" t="str">
        <f>IF(テーブル14[[#This Row],[変更種別]]="削除",
       "",
       IF(テーブル14[[#This Row],[title / 変更]]="",テーブル14[[#This Row],[title]],テーブル14[[#This Row],[title / 変更]]))</f>
        <v>勘定科目分類表</v>
      </c>
      <c r="T63" s="22" t="str">
        <f>IF(テーブル14[[#This Row],[変更種別]]="削除",
       "",
       IF(テーブル14[[#This Row],[url / 変更]]="",テーブル14[[#This Row],[url]],テーブル14[[#This Row],[url / 変更]]))</f>
        <v>https://itochucorp.sharepoint.com/sites/intra-tokgn/SitePages/tan/ac/勘定科目分類表.aspx</v>
      </c>
      <c r="U63" s="22" t="str">
        <f>IF(テーブル14[[#This Row],[変更種別]]="削除",
       "",
       IF(テーブル14[[#This Row],[keywords / 変更]]="",テーブル14[[#This Row],[keywords]],テーブル14[[#This Row],[keywords / 変更]]))</f>
        <v>[ "勘定科目" ]</v>
      </c>
      <c r="V63" s="22" t="str">
        <f>IF(テーブル14[[#This Row],[変更種別]]="削除",
       "",
       IF(テーブル14[[#This Row],[comment]]="","",テーブル14[[#This Row],[comment]]))</f>
        <v/>
      </c>
      <c r="W63" s="22" t="str">
        <f>IF(テーブル14[[#This Row],[変更種別]]="削除",
       "",
       IF(テーブル14[[#This Row],[priority / 変更後]]="",テーブル14[[#This Row],[priority]],テーブル14[[#This Row],[priority / 変更後]]))</f>
        <v>1</v>
      </c>
      <c r="X6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4" spans="1:24" x14ac:dyDescent="0.25">
      <c r="A64" s="20" t="s">
        <v>773</v>
      </c>
      <c r="B64" s="20" t="s">
        <v>999</v>
      </c>
      <c r="C64" s="20" t="s">
        <v>474</v>
      </c>
      <c r="D64" s="20" t="s">
        <v>472</v>
      </c>
      <c r="E64" s="20" t="s">
        <v>473</v>
      </c>
      <c r="F64" s="20" t="s">
        <v>855</v>
      </c>
      <c r="G64" s="20"/>
      <c r="H64" s="20" t="s">
        <v>999</v>
      </c>
      <c r="I64" s="21"/>
      <c r="J64" s="21"/>
      <c r="K64" s="21"/>
      <c r="L64" s="21"/>
      <c r="M64" s="21"/>
      <c r="N64" s="21" t="s">
        <v>1189</v>
      </c>
      <c r="O64" s="21"/>
      <c r="P64" s="22" t="str">
        <f>IF(_xlfn.CONCAT(テーブル14[[#This Row],[変更種別]:[keywords / 変更]])&lt;&gt;"","","*")</f>
        <v>*</v>
      </c>
      <c r="Q64" s="22" t="str">
        <f>IF(テーブル14[[#This Row],[変更種別]]="削除","2",IF(テーブル14[[#This Row],[_ex2]]="","1",""))</f>
        <v/>
      </c>
      <c r="R64" s="22" t="str">
        <f>IF(テーブル14[[#This Row],[変更種別]]="新規","",テーブル14[[#This Row],[id]])</f>
        <v>e8aa6433-1fd2-4b1b-9394-3bac5872c732</v>
      </c>
      <c r="S64" s="22" t="str">
        <f>IF(テーブル14[[#This Row],[変更種別]]="削除",
       "",
       IF(テーブル14[[#This Row],[title / 変更]]="",テーブル14[[#This Row],[title]],テーブル14[[#This Row],[title / 変更]]))</f>
        <v xml:space="preserve">収入印紙の取扱要領 </v>
      </c>
      <c r="T64" s="22" t="str">
        <f>IF(テーブル14[[#This Row],[変更種別]]="削除",
       "",
       IF(テーブル14[[#This Row],[url / 変更]]="",テーブル14[[#This Row],[url]],テーブル14[[#This Row],[url / 変更]]))</f>
        <v>https://itochucorp.sharepoint.com/sites/intra-tokgn/Lists/List004/DispForm.aspx?ID=921</v>
      </c>
      <c r="U64" s="22" t="str">
        <f>IF(テーブル14[[#This Row],[変更種別]]="削除",
       "",
       IF(テーブル14[[#This Row],[keywords / 変更]]="",テーブル14[[#This Row],[keywords]],テーブル14[[#This Row],[keywords / 変更]]))</f>
        <v>[ "収入印紙" ]</v>
      </c>
      <c r="V64" s="22" t="str">
        <f>IF(テーブル14[[#This Row],[変更種別]]="削除",
       "",
       IF(テーブル14[[#This Row],[comment]]="","",テーブル14[[#This Row],[comment]]))</f>
        <v/>
      </c>
      <c r="W64" s="22" t="str">
        <f>IF(テーブル14[[#This Row],[変更種別]]="削除",
       "",
       IF(テーブル14[[#This Row],[priority / 変更後]]="",テーブル14[[#This Row],[priority]],テーブル14[[#This Row],[priority / 変更後]]))</f>
        <v>1</v>
      </c>
      <c r="X6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5" spans="1:24" x14ac:dyDescent="0.25">
      <c r="A65" s="20" t="s">
        <v>773</v>
      </c>
      <c r="B65" s="20" t="s">
        <v>999</v>
      </c>
      <c r="C65" s="20" t="s">
        <v>652</v>
      </c>
      <c r="D65" s="20" t="s">
        <v>650</v>
      </c>
      <c r="E65" s="20" t="s">
        <v>651</v>
      </c>
      <c r="F65" s="20" t="s">
        <v>856</v>
      </c>
      <c r="G65" s="20"/>
      <c r="H65" s="20" t="s">
        <v>999</v>
      </c>
      <c r="I65" s="21"/>
      <c r="J65" s="21"/>
      <c r="K65" s="21"/>
      <c r="L65" s="21"/>
      <c r="M65" s="21"/>
      <c r="N65" s="21" t="s">
        <v>1189</v>
      </c>
      <c r="O65" s="21"/>
      <c r="P65" s="22" t="str">
        <f>IF(_xlfn.CONCAT(テーブル14[[#This Row],[変更種別]:[keywords / 変更]])&lt;&gt;"","","*")</f>
        <v>*</v>
      </c>
      <c r="Q65" s="22" t="str">
        <f>IF(テーブル14[[#This Row],[変更種別]]="削除","2",IF(テーブル14[[#This Row],[_ex2]]="","1",""))</f>
        <v/>
      </c>
      <c r="R65" s="22" t="str">
        <f>IF(テーブル14[[#This Row],[変更種別]]="新規","",テーブル14[[#This Row],[id]])</f>
        <v>00f68212-ff19-4710-93dc-c70ba8db0add</v>
      </c>
      <c r="S65" s="22" t="str">
        <f>IF(テーブル14[[#This Row],[変更種別]]="削除",
       "",
       IF(テーブル14[[#This Row],[title / 変更]]="",テーブル14[[#This Row],[title]],テーブル14[[#This Row],[title / 変更]]))</f>
        <v xml:space="preserve">輸出代金保険事故及び保険債権代位に係る経理処理 </v>
      </c>
      <c r="T65" s="22" t="str">
        <f>IF(テーブル14[[#This Row],[変更種別]]="削除",
       "",
       IF(テーブル14[[#This Row],[url / 変更]]="",テーブル14[[#This Row],[url]],テーブル14[[#This Row],[url / 変更]]))</f>
        <v>https://itochucorp.sharepoint.com/sites/intra-tokgn/Lists/List003/DispForm.aspx?ID=180</v>
      </c>
      <c r="U65" s="22" t="str">
        <f>IF(テーブル14[[#This Row],[変更種別]]="削除",
       "",
       IF(テーブル14[[#This Row],[keywords / 変更]]="",テーブル14[[#This Row],[keywords]],テーブル14[[#This Row],[keywords / 変更]]))</f>
        <v>[ "未収収益" ]</v>
      </c>
      <c r="V65" s="22" t="str">
        <f>IF(テーブル14[[#This Row],[変更種別]]="削除",
       "",
       IF(テーブル14[[#This Row],[comment]]="","",テーブル14[[#This Row],[comment]]))</f>
        <v/>
      </c>
      <c r="W65" s="22" t="str">
        <f>IF(テーブル14[[#This Row],[変更種別]]="削除",
       "",
       IF(テーブル14[[#This Row],[priority / 変更後]]="",テーブル14[[#This Row],[priority]],テーブル14[[#This Row],[priority / 変更後]]))</f>
        <v>1</v>
      </c>
      <c r="X6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6" spans="1:24" x14ac:dyDescent="0.25">
      <c r="A66" s="20" t="s">
        <v>773</v>
      </c>
      <c r="B66" s="20" t="s">
        <v>999</v>
      </c>
      <c r="C66" s="20" t="s">
        <v>649</v>
      </c>
      <c r="D66" s="20" t="s">
        <v>647</v>
      </c>
      <c r="E66" s="20" t="s">
        <v>648</v>
      </c>
      <c r="F66" s="20" t="s">
        <v>856</v>
      </c>
      <c r="G66" s="20"/>
      <c r="H66" s="20" t="s">
        <v>999</v>
      </c>
      <c r="I66" s="21"/>
      <c r="J66" s="21"/>
      <c r="K66" s="21"/>
      <c r="L66" s="21"/>
      <c r="M66" s="21"/>
      <c r="N66" s="21" t="s">
        <v>1189</v>
      </c>
      <c r="O66" s="21"/>
      <c r="P66" s="22" t="str">
        <f>IF(_xlfn.CONCAT(テーブル14[[#This Row],[変更種別]:[keywords / 変更]])&lt;&gt;"","","*")</f>
        <v>*</v>
      </c>
      <c r="Q66" s="22" t="str">
        <f>IF(テーブル14[[#This Row],[変更種別]]="削除","2",IF(テーブル14[[#This Row],[_ex2]]="","1",""))</f>
        <v/>
      </c>
      <c r="R66" s="22" t="str">
        <f>IF(テーブル14[[#This Row],[変更種別]]="新規","",テーブル14[[#This Row],[id]])</f>
        <v>63ae3653-3fa1-423d-81d9-827eab41bbb8</v>
      </c>
      <c r="S66" s="22" t="str">
        <f>IF(テーブル14[[#This Row],[変更種別]]="削除",
       "",
       IF(テーブル14[[#This Row],[title / 変更]]="",テーブル14[[#This Row],[title]],テーブル14[[#This Row],[title / 変更]]))</f>
        <v xml:space="preserve">未収利息の不計上基準改訂の件 </v>
      </c>
      <c r="T66" s="22" t="str">
        <f>IF(テーブル14[[#This Row],[変更種別]]="削除",
       "",
       IF(テーブル14[[#This Row],[url / 変更]]="",テーブル14[[#This Row],[url]],テーブル14[[#This Row],[url / 変更]]))</f>
        <v>https://itochucorp.sharepoint.com/sites/intra-tokgn/Lists/List004/DispForm.aspx?ID=906</v>
      </c>
      <c r="U66" s="22" t="str">
        <f>IF(テーブル14[[#This Row],[変更種別]]="削除",
       "",
       IF(テーブル14[[#This Row],[keywords / 変更]]="",テーブル14[[#This Row],[keywords]],テーブル14[[#This Row],[keywords / 変更]]))</f>
        <v>[ "未収収益" ]</v>
      </c>
      <c r="V66" s="22" t="str">
        <f>IF(テーブル14[[#This Row],[変更種別]]="削除",
       "",
       IF(テーブル14[[#This Row],[comment]]="","",テーブル14[[#This Row],[comment]]))</f>
        <v/>
      </c>
      <c r="W66" s="22" t="str">
        <f>IF(テーブル14[[#This Row],[変更種別]]="削除",
       "",
       IF(テーブル14[[#This Row],[priority / 変更後]]="",テーブル14[[#This Row],[priority]],テーブル14[[#This Row],[priority / 変更後]]))</f>
        <v>1</v>
      </c>
      <c r="X6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7" spans="1:24" x14ac:dyDescent="0.25">
      <c r="A67" s="20" t="s">
        <v>773</v>
      </c>
      <c r="B67" s="20" t="s">
        <v>999</v>
      </c>
      <c r="C67" s="20" t="s">
        <v>646</v>
      </c>
      <c r="D67" s="20" t="s">
        <v>644</v>
      </c>
      <c r="E67" s="20" t="s">
        <v>645</v>
      </c>
      <c r="F67" s="20" t="s">
        <v>856</v>
      </c>
      <c r="G67" s="20"/>
      <c r="H67" s="20" t="s">
        <v>999</v>
      </c>
      <c r="I67" s="21"/>
      <c r="J67" s="21"/>
      <c r="K67" s="21"/>
      <c r="L67" s="21"/>
      <c r="M67" s="21"/>
      <c r="N67" s="21" t="s">
        <v>1189</v>
      </c>
      <c r="O67" s="21"/>
      <c r="P67" s="22" t="str">
        <f>IF(_xlfn.CONCAT(テーブル14[[#This Row],[変更種別]:[keywords / 変更]])&lt;&gt;"","","*")</f>
        <v>*</v>
      </c>
      <c r="Q67" s="22" t="str">
        <f>IF(テーブル14[[#This Row],[変更種別]]="削除","2",IF(テーブル14[[#This Row],[_ex2]]="","1",""))</f>
        <v/>
      </c>
      <c r="R67" s="22" t="str">
        <f>IF(テーブル14[[#This Row],[変更種別]]="新規","",テーブル14[[#This Row],[id]])</f>
        <v>5526e30b-f73a-40af-a9fe-55b473caf855</v>
      </c>
      <c r="S67" s="22" t="str">
        <f>IF(テーブル14[[#This Row],[変更種別]]="削除",
       "",
       IF(テーブル14[[#This Row],[title / 変更]]="",テーブル14[[#This Row],[title]],テーブル14[[#This Row],[title / 変更]]))</f>
        <v xml:space="preserve">未収銀行利子の計上について </v>
      </c>
      <c r="T67" s="22" t="str">
        <f>IF(テーブル14[[#This Row],[変更種別]]="削除",
       "",
       IF(テーブル14[[#This Row],[url / 変更]]="",テーブル14[[#This Row],[url]],テーブル14[[#This Row],[url / 変更]]))</f>
        <v>https://itochucorp.sharepoint.com/sites/intra-tokgn/Lists/List003/DispForm.aspx?ID=234</v>
      </c>
      <c r="U67" s="22" t="str">
        <f>IF(テーブル14[[#This Row],[変更種別]]="削除",
       "",
       IF(テーブル14[[#This Row],[keywords / 変更]]="",テーブル14[[#This Row],[keywords]],テーブル14[[#This Row],[keywords / 変更]]))</f>
        <v>[ "未収収益" ]</v>
      </c>
      <c r="V67" s="22" t="str">
        <f>IF(テーブル14[[#This Row],[変更種別]]="削除",
       "",
       IF(テーブル14[[#This Row],[comment]]="","",テーブル14[[#This Row],[comment]]))</f>
        <v/>
      </c>
      <c r="W67" s="22" t="str">
        <f>IF(テーブル14[[#This Row],[変更種別]]="削除",
       "",
       IF(テーブル14[[#This Row],[priority / 変更後]]="",テーブル14[[#This Row],[priority]],テーブル14[[#This Row],[priority / 変更後]]))</f>
        <v>1</v>
      </c>
      <c r="X6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8" spans="1:24" x14ac:dyDescent="0.25">
      <c r="A68" s="20" t="s">
        <v>773</v>
      </c>
      <c r="B68" s="20" t="s">
        <v>999</v>
      </c>
      <c r="C68" s="20" t="s">
        <v>857</v>
      </c>
      <c r="D68" s="20" t="s">
        <v>239</v>
      </c>
      <c r="E68" s="20" t="s">
        <v>240</v>
      </c>
      <c r="F68" s="20" t="s">
        <v>858</v>
      </c>
      <c r="G68" s="20"/>
      <c r="H68" s="20" t="s">
        <v>999</v>
      </c>
      <c r="I68" s="21" t="s">
        <v>1002</v>
      </c>
      <c r="J68" s="21"/>
      <c r="K68" s="21"/>
      <c r="L68" s="21"/>
      <c r="M68" s="21"/>
      <c r="N68" s="21"/>
      <c r="O68" s="21" t="s">
        <v>1028</v>
      </c>
      <c r="P68" s="22" t="str">
        <f>IF(_xlfn.CONCAT(テーブル14[[#This Row],[変更種別]:[keywords / 変更]])&lt;&gt;"","","*")</f>
        <v/>
      </c>
      <c r="Q68" s="22" t="str">
        <f>IF(テーブル14[[#This Row],[変更種別]]="削除","2",IF(テーブル14[[#This Row],[_ex2]]="","1",""))</f>
        <v>2</v>
      </c>
      <c r="R68" s="22" t="str">
        <f>IF(テーブル14[[#This Row],[変更種別]]="新規","",テーブル14[[#This Row],[id]])</f>
        <v>eefd9023-4827-4496-a0c6-31fb0cf80afd</v>
      </c>
      <c r="S68" s="22" t="str">
        <f>IF(テーブル14[[#This Row],[変更種別]]="削除",
       "",
       IF(テーブル14[[#This Row],[title / 変更]]="",テーブル14[[#This Row],[title]],テーブル14[[#This Row],[title / 変更]]))</f>
        <v/>
      </c>
      <c r="T68" s="22" t="str">
        <f>IF(テーブル14[[#This Row],[変更種別]]="削除",
       "",
       IF(テーブル14[[#This Row],[url / 変更]]="",テーブル14[[#This Row],[url]],テーブル14[[#This Row],[url / 変更]]))</f>
        <v/>
      </c>
      <c r="U68" s="22" t="str">
        <f>IF(テーブル14[[#This Row],[変更種別]]="削除",
       "",
       IF(テーブル14[[#This Row],[keywords / 変更]]="",テーブル14[[#This Row],[keywords]],テーブル14[[#This Row],[keywords / 変更]]))</f>
        <v/>
      </c>
      <c r="V68" s="22" t="str">
        <f>IF(テーブル14[[#This Row],[変更種別]]="削除",
       "",
       IF(テーブル14[[#This Row],[comment]]="","",テーブル14[[#This Row],[comment]]))</f>
        <v/>
      </c>
      <c r="W68" s="22" t="str">
        <f>IF(テーブル14[[#This Row],[変更種別]]="削除",
       "",
       IF(テーブル14[[#This Row],[priority / 変更後]]="",テーブル14[[#This Row],[priority]],テーブル14[[#This Row],[priority / 変更後]]))</f>
        <v/>
      </c>
      <c r="X6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69" spans="1:24" x14ac:dyDescent="0.25">
      <c r="A69" s="20" t="s">
        <v>773</v>
      </c>
      <c r="B69" s="20" t="s">
        <v>999</v>
      </c>
      <c r="C69" s="20" t="s">
        <v>517</v>
      </c>
      <c r="D69" s="20" t="s">
        <v>515</v>
      </c>
      <c r="E69" s="20" t="s">
        <v>516</v>
      </c>
      <c r="F69" s="20" t="s">
        <v>858</v>
      </c>
      <c r="G69" s="20"/>
      <c r="H69" s="20" t="s">
        <v>999</v>
      </c>
      <c r="I69" s="21" t="s">
        <v>1181</v>
      </c>
      <c r="J69" s="21"/>
      <c r="K69" s="21"/>
      <c r="L69" s="21"/>
      <c r="M69" s="21"/>
      <c r="N69" s="21" t="s">
        <v>1191</v>
      </c>
      <c r="O69" s="21" t="s">
        <v>1193</v>
      </c>
      <c r="P69" s="22" t="str">
        <f>IF(_xlfn.CONCAT(テーブル14[[#This Row],[変更種別]:[keywords / 変更]])&lt;&gt;"","","*")</f>
        <v/>
      </c>
      <c r="Q69" s="22" t="str">
        <f>IF(テーブル14[[#This Row],[変更種別]]="削除","2",IF(テーブル14[[#This Row],[_ex2]]="","1",""))</f>
        <v>1</v>
      </c>
      <c r="R69" s="22" t="str">
        <f>IF(テーブル14[[#This Row],[変更種別]]="新規","",テーブル14[[#This Row],[id]])</f>
        <v>3aafd113-8da3-42e1-9373-fe8ed7fdafd2</v>
      </c>
      <c r="S69" s="22" t="str">
        <f>IF(テーブル14[[#This Row],[変更種別]]="削除",
       "",
       IF(テーブル14[[#This Row],[title / 変更]]="",テーブル14[[#This Row],[title]],テーブル14[[#This Row],[title / 変更]]))</f>
        <v>オプション取引におけるオプション料の処理について</v>
      </c>
      <c r="T69" s="22" t="str">
        <f>IF(テーブル14[[#This Row],[変更種別]]="削除",
       "",
       IF(テーブル14[[#This Row],[url / 変更]]="",テーブル14[[#This Row],[url]],テーブル14[[#This Row],[url / 変更]]))</f>
        <v>https://itochucorp.sharepoint.com/sites/intra-tokgn/Lists/List004/DispForm.aspx?ID=271</v>
      </c>
      <c r="U69" s="22" t="str">
        <f>IF(テーブル14[[#This Row],[変更種別]]="削除",
       "",
       IF(テーブル14[[#This Row],[keywords / 変更]]="",テーブル14[[#This Row],[keywords]],テーブル14[[#This Row],[keywords / 変更]]))</f>
        <v>[ "前払費用" ]</v>
      </c>
      <c r="V69" s="22" t="str">
        <f>IF(テーブル14[[#This Row],[変更種別]]="削除",
       "",
       IF(テーブル14[[#This Row],[comment]]="","",テーブル14[[#This Row],[comment]]))</f>
        <v/>
      </c>
      <c r="W69" s="22" t="str">
        <f>IF(テーブル14[[#This Row],[変更種別]]="削除",
       "",
       IF(テーブル14[[#This Row],[priority / 変更後]]="",テーブル14[[#This Row],[priority]],テーブル14[[#This Row],[priority / 変更後]]))</f>
        <v>2</v>
      </c>
      <c r="X6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70" spans="1:24" x14ac:dyDescent="0.25">
      <c r="A70" s="20" t="s">
        <v>773</v>
      </c>
      <c r="B70" s="20" t="s">
        <v>999</v>
      </c>
      <c r="C70" s="20" t="s">
        <v>520</v>
      </c>
      <c r="D70" s="20" t="s">
        <v>518</v>
      </c>
      <c r="E70" s="20" t="s">
        <v>519</v>
      </c>
      <c r="F70" s="20" t="s">
        <v>858</v>
      </c>
      <c r="G70" s="20"/>
      <c r="H70" s="20" t="s">
        <v>999</v>
      </c>
      <c r="I70" s="21"/>
      <c r="J70" s="21"/>
      <c r="K70" s="21"/>
      <c r="L70" s="21"/>
      <c r="M70" s="21"/>
      <c r="N70" s="21" t="s">
        <v>1189</v>
      </c>
      <c r="O70" s="21"/>
      <c r="P70" s="22" t="str">
        <f>IF(_xlfn.CONCAT(テーブル14[[#This Row],[変更種別]:[keywords / 変更]])&lt;&gt;"","","*")</f>
        <v>*</v>
      </c>
      <c r="Q70" s="22" t="str">
        <f>IF(テーブル14[[#This Row],[変更種別]]="削除","2",IF(テーブル14[[#This Row],[_ex2]]="","1",""))</f>
        <v/>
      </c>
      <c r="R70" s="22" t="str">
        <f>IF(テーブル14[[#This Row],[変更種別]]="新規","",テーブル14[[#This Row],[id]])</f>
        <v>3b3dd98a-64a1-4593-a475-ec0f339f7a6c</v>
      </c>
      <c r="S70" s="22" t="str">
        <f>IF(テーブル14[[#This Row],[変更種別]]="削除",
       "",
       IF(テーブル14[[#This Row],[title / 変更]]="",テーブル14[[#This Row],[title]],テーブル14[[#This Row],[title / 変更]]))</f>
        <v xml:space="preserve">外貨建取引等会計処理基準について </v>
      </c>
      <c r="T70" s="22" t="str">
        <f>IF(テーブル14[[#This Row],[変更種別]]="削除",
       "",
       IF(テーブル14[[#This Row],[url / 変更]]="",テーブル14[[#This Row],[url]],テーブル14[[#This Row],[url / 変更]]))</f>
        <v>https://itochucorp.sharepoint.com/sites/intra-tokgn/Lists/List004/DispForm.aspx?ID=940</v>
      </c>
      <c r="U70" s="22" t="str">
        <f>IF(テーブル14[[#This Row],[変更種別]]="削除",
       "",
       IF(テーブル14[[#This Row],[keywords / 変更]]="",テーブル14[[#This Row],[keywords]],テーブル14[[#This Row],[keywords / 変更]]))</f>
        <v>[ "前払費用" ]</v>
      </c>
      <c r="V70" s="22" t="str">
        <f>IF(テーブル14[[#This Row],[変更種別]]="削除",
       "",
       IF(テーブル14[[#This Row],[comment]]="","",テーブル14[[#This Row],[comment]]))</f>
        <v/>
      </c>
      <c r="W70" s="22" t="str">
        <f>IF(テーブル14[[#This Row],[変更種別]]="削除",
       "",
       IF(テーブル14[[#This Row],[priority / 変更後]]="",テーブル14[[#This Row],[priority]],テーブル14[[#This Row],[priority / 変更後]]))</f>
        <v>1</v>
      </c>
      <c r="X7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71" spans="1:24" x14ac:dyDescent="0.25">
      <c r="A71" s="20" t="s">
        <v>773</v>
      </c>
      <c r="B71" s="20" t="s">
        <v>999</v>
      </c>
      <c r="C71" s="20" t="s">
        <v>661</v>
      </c>
      <c r="D71" s="20" t="s">
        <v>659</v>
      </c>
      <c r="E71" s="20" t="s">
        <v>660</v>
      </c>
      <c r="F71" s="20" t="s">
        <v>859</v>
      </c>
      <c r="G71" s="20"/>
      <c r="H71" s="20" t="s">
        <v>999</v>
      </c>
      <c r="I71" s="21"/>
      <c r="J71" s="21"/>
      <c r="K71" s="21"/>
      <c r="L71" s="21"/>
      <c r="M71" s="21"/>
      <c r="N71" s="21" t="s">
        <v>1189</v>
      </c>
      <c r="O71" s="21"/>
      <c r="P71" s="22" t="str">
        <f>IF(_xlfn.CONCAT(テーブル14[[#This Row],[変更種別]:[keywords / 変更]])&lt;&gt;"","","*")</f>
        <v>*</v>
      </c>
      <c r="Q71" s="22" t="str">
        <f>IF(テーブル14[[#This Row],[変更種別]]="削除","2",IF(テーブル14[[#This Row],[_ex2]]="","1",""))</f>
        <v/>
      </c>
      <c r="R71" s="22" t="str">
        <f>IF(テーブル14[[#This Row],[変更種別]]="新規","",テーブル14[[#This Row],[id]])</f>
        <v>c54a2645-22e8-4a3a-b250-748f38b9bbf3</v>
      </c>
      <c r="S71" s="22" t="str">
        <f>IF(テーブル14[[#This Row],[変更種別]]="削除",
       "",
       IF(テーブル14[[#This Row],[title / 変更]]="",テーブル14[[#This Row],[title]],テーブル14[[#This Row],[title / 変更]]))</f>
        <v xml:space="preserve">固定資産の減損に係る経理処理基準改訂の件 </v>
      </c>
      <c r="T71" s="22" t="str">
        <f>IF(テーブル14[[#This Row],[変更種別]]="削除",
       "",
       IF(テーブル14[[#This Row],[url / 変更]]="",テーブル14[[#This Row],[url]],テーブル14[[#This Row],[url / 変更]]))</f>
        <v>https://itochucorp.sharepoint.com/sites/intra-tokgn/Lists/List004/DispForm.aspx?ID=106</v>
      </c>
      <c r="U71" s="22" t="str">
        <f>IF(テーブル14[[#This Row],[変更種別]]="削除",
       "",
       IF(テーブル14[[#This Row],[keywords / 変更]]="",テーブル14[[#This Row],[keywords]],テーブル14[[#This Row],[keywords / 変更]]))</f>
        <v>[ "無形固定資産" ]</v>
      </c>
      <c r="V71" s="22" t="str">
        <f>IF(テーブル14[[#This Row],[変更種別]]="削除",
       "",
       IF(テーブル14[[#This Row],[comment]]="","",テーブル14[[#This Row],[comment]]))</f>
        <v/>
      </c>
      <c r="W71" s="22" t="str">
        <f>IF(テーブル14[[#This Row],[変更種別]]="削除",
       "",
       IF(テーブル14[[#This Row],[priority / 変更後]]="",テーブル14[[#This Row],[priority]],テーブル14[[#This Row],[priority / 変更後]]))</f>
        <v>1</v>
      </c>
      <c r="X7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72" spans="1:24" x14ac:dyDescent="0.25">
      <c r="A72" s="20" t="s">
        <v>773</v>
      </c>
      <c r="B72" s="20" t="s">
        <v>999</v>
      </c>
      <c r="C72" s="20" t="s">
        <v>664</v>
      </c>
      <c r="D72" s="20" t="s">
        <v>662</v>
      </c>
      <c r="E72" s="20" t="s">
        <v>663</v>
      </c>
      <c r="F72" s="20" t="s">
        <v>859</v>
      </c>
      <c r="G72" s="20"/>
      <c r="H72" s="20" t="s">
        <v>999</v>
      </c>
      <c r="I72" s="21"/>
      <c r="J72" s="21"/>
      <c r="K72" s="21"/>
      <c r="L72" s="21"/>
      <c r="M72" s="21"/>
      <c r="N72" s="21" t="s">
        <v>1189</v>
      </c>
      <c r="O72" s="21"/>
      <c r="P72" s="22" t="str">
        <f>IF(_xlfn.CONCAT(テーブル14[[#This Row],[変更種別]:[keywords / 変更]])&lt;&gt;"","","*")</f>
        <v>*</v>
      </c>
      <c r="Q72" s="22" t="str">
        <f>IF(テーブル14[[#This Row],[変更種別]]="削除","2",IF(テーブル14[[#This Row],[_ex2]]="","1",""))</f>
        <v/>
      </c>
      <c r="R72" s="22" t="str">
        <f>IF(テーブル14[[#This Row],[変更種別]]="新規","",テーブル14[[#This Row],[id]])</f>
        <v>ecb5c73a-7227-4ec0-bd0a-d77f85694350</v>
      </c>
      <c r="S72" s="22" t="str">
        <f>IF(テーブル14[[#This Row],[変更種別]]="削除",
       "",
       IF(テーブル14[[#This Row],[title / 変更]]="",テーブル14[[#This Row],[title]],テーブル14[[#This Row],[title / 変更]]))</f>
        <v xml:space="preserve">資産除去債務に関する会計処理について </v>
      </c>
      <c r="T72" s="22" t="str">
        <f>IF(テーブル14[[#This Row],[変更種別]]="削除",
       "",
       IF(テーブル14[[#This Row],[url / 変更]]="",テーブル14[[#This Row],[url]],テーブル14[[#This Row],[url / 変更]]))</f>
        <v>https://itochucorp.sharepoint.com/sites/intra-tokgn/Lists/List004/DispForm.aspx?ID=62</v>
      </c>
      <c r="U72" s="22" t="str">
        <f>IF(テーブル14[[#This Row],[変更種別]]="削除",
       "",
       IF(テーブル14[[#This Row],[keywords / 変更]]="",テーブル14[[#This Row],[keywords]],テーブル14[[#This Row],[keywords / 変更]]))</f>
        <v>[ "無形固定資産" ]</v>
      </c>
      <c r="V72" s="22" t="str">
        <f>IF(テーブル14[[#This Row],[変更種別]]="削除",
       "",
       IF(テーブル14[[#This Row],[comment]]="","",テーブル14[[#This Row],[comment]]))</f>
        <v/>
      </c>
      <c r="W72" s="22" t="str">
        <f>IF(テーブル14[[#This Row],[変更種別]]="削除",
       "",
       IF(テーブル14[[#This Row],[priority / 変更後]]="",テーブル14[[#This Row],[priority]],テーブル14[[#This Row],[priority / 変更後]]))</f>
        <v>1</v>
      </c>
      <c r="X7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73" spans="1:24" x14ac:dyDescent="0.25">
      <c r="A73" s="20" t="s">
        <v>773</v>
      </c>
      <c r="B73" s="20" t="s">
        <v>999</v>
      </c>
      <c r="C73" s="20" t="s">
        <v>549</v>
      </c>
      <c r="D73" s="20" t="s">
        <v>547</v>
      </c>
      <c r="E73" s="20" t="s">
        <v>548</v>
      </c>
      <c r="F73" s="20" t="s">
        <v>860</v>
      </c>
      <c r="G73" s="20"/>
      <c r="H73" s="20" t="s">
        <v>999</v>
      </c>
      <c r="I73" s="21"/>
      <c r="J73" s="21"/>
      <c r="K73" s="21"/>
      <c r="L73" s="21"/>
      <c r="M73" s="21"/>
      <c r="N73" s="21" t="s">
        <v>1189</v>
      </c>
      <c r="O73" s="21"/>
      <c r="P73" s="22" t="str">
        <f>IF(_xlfn.CONCAT(テーブル14[[#This Row],[変更種別]:[keywords / 変更]])&lt;&gt;"","","*")</f>
        <v>*</v>
      </c>
      <c r="Q73" s="22" t="str">
        <f>IF(テーブル14[[#This Row],[変更種別]]="削除","2",IF(テーブル14[[#This Row],[_ex2]]="","1",""))</f>
        <v/>
      </c>
      <c r="R73" s="22" t="str">
        <f>IF(テーブル14[[#This Row],[変更種別]]="新規","",テーブル14[[#This Row],[id]])</f>
        <v>adaa6277-76a2-4fea-a881-a8040d89d256</v>
      </c>
      <c r="S73" s="22" t="str">
        <f>IF(テーブル14[[#This Row],[変更種別]]="削除",
       "",
       IF(テーブル14[[#This Row],[title / 変更]]="",テーブル14[[#This Row],[title]],テーブル14[[#This Row],[title / 変更]]))</f>
        <v xml:space="preserve">棚卸資産に係る低価法の取扱い </v>
      </c>
      <c r="T73" s="22" t="str">
        <f>IF(テーブル14[[#This Row],[変更種別]]="削除",
       "",
       IF(テーブル14[[#This Row],[url / 変更]]="",テーブル14[[#This Row],[url]],テーブル14[[#This Row],[url / 変更]]))</f>
        <v>https://itochucorp.sharepoint.com/sites/intra-tokgn/Lists/List007/DispForm.aspx?ID=88</v>
      </c>
      <c r="U73" s="22" t="str">
        <f>IF(テーブル14[[#This Row],[変更種別]]="削除",
       "",
       IF(テーブル14[[#This Row],[keywords / 変更]]="",テーブル14[[#This Row],[keywords]],テーブル14[[#This Row],[keywords / 変更]]))</f>
        <v>[ "低価法" ]</v>
      </c>
      <c r="V73" s="22" t="str">
        <f>IF(テーブル14[[#This Row],[変更種別]]="削除",
       "",
       IF(テーブル14[[#This Row],[comment]]="","",テーブル14[[#This Row],[comment]]))</f>
        <v/>
      </c>
      <c r="W73" s="22" t="str">
        <f>IF(テーブル14[[#This Row],[変更種別]]="削除",
       "",
       IF(テーブル14[[#This Row],[priority / 変更後]]="",テーブル14[[#This Row],[priority]],テーブル14[[#This Row],[priority / 変更後]]))</f>
        <v>1</v>
      </c>
      <c r="X7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74" spans="1:24" ht="57" x14ac:dyDescent="0.25">
      <c r="A74" s="20" t="s">
        <v>773</v>
      </c>
      <c r="B74" s="20" t="s">
        <v>999</v>
      </c>
      <c r="C74" s="20" t="s">
        <v>551</v>
      </c>
      <c r="D74" s="20" t="s">
        <v>550</v>
      </c>
      <c r="E74" s="20" t="s">
        <v>861</v>
      </c>
      <c r="F74" s="20" t="s">
        <v>860</v>
      </c>
      <c r="G74" s="20"/>
      <c r="H74" s="20" t="s">
        <v>999</v>
      </c>
      <c r="I74" s="21" t="s">
        <v>975</v>
      </c>
      <c r="J74" s="21"/>
      <c r="K74" s="21" t="s">
        <v>754</v>
      </c>
      <c r="L74" s="21"/>
      <c r="M74" s="21"/>
      <c r="N74" s="21" t="s">
        <v>1191</v>
      </c>
      <c r="O74" s="21"/>
      <c r="P74" s="22" t="str">
        <f>IF(_xlfn.CONCAT(テーブル14[[#This Row],[変更種別]:[keywords / 変更]])&lt;&gt;"","","*")</f>
        <v/>
      </c>
      <c r="Q74" s="22" t="str">
        <f>IF(テーブル14[[#This Row],[変更種別]]="削除","2",IF(テーブル14[[#This Row],[_ex2]]="","1",""))</f>
        <v>1</v>
      </c>
      <c r="R74" s="22" t="str">
        <f>IF(テーブル14[[#This Row],[変更種別]]="新規","",テーブル14[[#This Row],[id]])</f>
        <v>b0b78036-984c-4e7c-b349-aee847e8590c</v>
      </c>
      <c r="S74" s="22" t="str">
        <f>IF(テーブル14[[#This Row],[変更種別]]="削除",
       "",
       IF(テーブル14[[#This Row],[title / 変更]]="",テーブル14[[#This Row],[title]],テーブル14[[#This Row],[title / 変更]]))</f>
        <v>棚卸資産低価法値入力マニュアル</v>
      </c>
      <c r="T74" s="22" t="str">
        <f>IF(テーブル14[[#This Row],[変更種別]]="削除",
       "",
       IF(テーブル14[[#This Row],[url / 変更]]="",テーブル14[[#This Row],[url]],テーブル14[[#This Row],[url / 変更]]))</f>
        <v>https://itochucorp.sharepoint.com/sites/intra-tokgn/Shared%20Documents/tan/teikahou-manualver6.pdf</v>
      </c>
      <c r="U74" s="22" t="str">
        <f>IF(テーブル14[[#This Row],[変更種別]]="削除",
       "",
       IF(テーブル14[[#This Row],[keywords / 変更]]="",テーブル14[[#This Row],[keywords]],テーブル14[[#This Row],[keywords / 変更]]))</f>
        <v>[ "低価法" ]</v>
      </c>
      <c r="V74" s="22" t="str">
        <f>IF(テーブル14[[#This Row],[変更種別]]="削除",
       "",
       IF(テーブル14[[#This Row],[comment]]="","",テーブル14[[#This Row],[comment]]))</f>
        <v/>
      </c>
      <c r="W74" s="22" t="str">
        <f>IF(テーブル14[[#This Row],[変更種別]]="削除",
       "",
       IF(テーブル14[[#This Row],[priority / 変更後]]="",テーブル14[[#This Row],[priority]],テーブル14[[#This Row],[priority / 変更後]]))</f>
        <v>2</v>
      </c>
      <c r="X7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https://itochucorp.sharepoint.com/sites/intra-tokgn/Shared%20Documents/tan/teikahou-manualver6.pdf&amp;action=default
　後: https://itochucorp.sharepoint.com/sites/intra-tokgn/Shared%20Documents/tan/teikahou-manualver6.pdf
</v>
      </c>
    </row>
    <row r="75" spans="1:24" ht="57" x14ac:dyDescent="0.25">
      <c r="A75" s="20" t="s">
        <v>773</v>
      </c>
      <c r="B75" s="20" t="s">
        <v>999</v>
      </c>
      <c r="C75" s="20" t="s">
        <v>195</v>
      </c>
      <c r="D75" s="20" t="s">
        <v>193</v>
      </c>
      <c r="E75" s="20" t="s">
        <v>194</v>
      </c>
      <c r="F75" s="20" t="s">
        <v>862</v>
      </c>
      <c r="G75" s="20"/>
      <c r="H75" s="20" t="s">
        <v>999</v>
      </c>
      <c r="I75" s="21" t="s">
        <v>975</v>
      </c>
      <c r="J75" s="21"/>
      <c r="K75" s="21"/>
      <c r="L75" s="21" t="s">
        <v>1029</v>
      </c>
      <c r="M75" s="21"/>
      <c r="N75" s="21" t="s">
        <v>1189</v>
      </c>
      <c r="O75" s="21"/>
      <c r="P75" s="22" t="str">
        <f>IF(_xlfn.CONCAT(テーブル14[[#This Row],[変更種別]:[keywords / 変更]])&lt;&gt;"","","*")</f>
        <v/>
      </c>
      <c r="Q75" s="22" t="str">
        <f>IF(テーブル14[[#This Row],[変更種別]]="削除","2",IF(テーブル14[[#This Row],[_ex2]]="","1",""))</f>
        <v>1</v>
      </c>
      <c r="R75" s="22" t="str">
        <f>IF(テーブル14[[#This Row],[変更種別]]="新規","",テーブル14[[#This Row],[id]])</f>
        <v>91468486-5697-419c-8f76-c65aa4a87bcb</v>
      </c>
      <c r="S75" s="22" t="str">
        <f>IF(テーブル14[[#This Row],[変更種別]]="削除",
       "",
       IF(テーブル14[[#This Row],[title / 変更]]="",テーブル14[[#This Row],[title]],テーブル14[[#This Row],[title / 変更]]))</f>
        <v>Zoom ヘルプサイト</v>
      </c>
      <c r="T75" s="22" t="str">
        <f>IF(テーブル14[[#This Row],[変更種別]]="削除",
       "",
       IF(テーブル14[[#This Row],[url / 変更]]="",テーブル14[[#This Row],[url]],テーブル14[[#This Row],[url / 変更]]))</f>
        <v>https://itochucorp.sharepoint.com/sites/intra-tokgv-zoom</v>
      </c>
      <c r="U75" s="22" t="str">
        <f>IF(テーブル14[[#This Row],[変更種別]]="削除",
       "",
       IF(テーブル14[[#This Row],[keywords / 変更]]="",テーブル14[[#This Row],[keywords]],テーブル14[[#This Row],[keywords / 変更]]))</f>
        <v>[ "zoom", "ｚｏｏｍ" ]</v>
      </c>
      <c r="V75" s="22" t="str">
        <f>IF(テーブル14[[#This Row],[変更種別]]="削除",
       "",
       IF(テーブル14[[#This Row],[comment]]="","",テーブル14[[#This Row],[comment]]))</f>
        <v/>
      </c>
      <c r="W75" s="22" t="str">
        <f>IF(テーブル14[[#This Row],[変更種別]]="削除",
       "",
       IF(テーブル14[[#This Row],[priority / 変更後]]="",テーブル14[[#This Row],[priority]],テーブル14[[#This Row],[priority / 変更後]]))</f>
        <v>1</v>
      </c>
      <c r="X7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"zoom" ]
　後: [ "zoom", "ｚｏｏｍ" ]
</v>
      </c>
    </row>
    <row r="76" spans="1:24" ht="57" x14ac:dyDescent="0.25">
      <c r="A76" s="20" t="s">
        <v>773</v>
      </c>
      <c r="B76" s="20" t="s">
        <v>999</v>
      </c>
      <c r="C76" s="20" t="s">
        <v>251</v>
      </c>
      <c r="D76" s="20" t="s">
        <v>249</v>
      </c>
      <c r="E76" s="20" t="s">
        <v>250</v>
      </c>
      <c r="F76" s="20" t="s">
        <v>863</v>
      </c>
      <c r="G76" s="20"/>
      <c r="H76" s="20" t="s">
        <v>999</v>
      </c>
      <c r="I76" s="21" t="s">
        <v>975</v>
      </c>
      <c r="J76" s="21"/>
      <c r="K76" s="21" t="s">
        <v>1030</v>
      </c>
      <c r="L76" s="21"/>
      <c r="M76" s="21"/>
      <c r="N76" s="21" t="s">
        <v>1189</v>
      </c>
      <c r="O76" s="21"/>
      <c r="P76" s="22" t="str">
        <f>IF(_xlfn.CONCAT(テーブル14[[#This Row],[変更種別]:[keywords / 変更]])&lt;&gt;"","","*")</f>
        <v/>
      </c>
      <c r="Q76" s="22" t="str">
        <f>IF(テーブル14[[#This Row],[変更種別]]="削除","2",IF(テーブル14[[#This Row],[_ex2]]="","1",""))</f>
        <v>1</v>
      </c>
      <c r="R76" s="22" t="str">
        <f>IF(テーブル14[[#This Row],[変更種別]]="新規","",テーブル14[[#This Row],[id]])</f>
        <v>8714427c-17cc-488a-8641-c71c5370bbf0</v>
      </c>
      <c r="S76" s="22" t="str">
        <f>IF(テーブル14[[#This Row],[変更種別]]="削除",
       "",
       IF(テーブル14[[#This Row],[title / 変更]]="",テーブル14[[#This Row],[title]],テーブル14[[#This Row],[title / 変更]]))</f>
        <v>電話・FAX・どこでも内線 ヘルプサイト</v>
      </c>
      <c r="T76" s="22" t="str">
        <f>IF(テーブル14[[#This Row],[変更種別]]="削除",
       "",
       IF(テーブル14[[#This Row],[url / 変更]]="",テーブル14[[#This Row],[url]],テーブル14[[#This Row],[url / 変更]]))</f>
        <v>https://itochucorp.sharepoint.com/sites/intra-tokgv-tel_fax</v>
      </c>
      <c r="U76" s="22" t="str">
        <f>IF(テーブル14[[#This Row],[変更種別]]="削除",
       "",
       IF(テーブル14[[#This Row],[keywords / 変更]]="",テーブル14[[#This Row],[keywords]],テーブル14[[#This Row],[keywords / 変更]]))</f>
        <v>[ "どこでも内線" ]</v>
      </c>
      <c r="V76" s="22" t="str">
        <f>IF(テーブル14[[#This Row],[変更種別]]="削除",
       "",
       IF(テーブル14[[#This Row],[comment]]="","",テーブル14[[#This Row],[comment]]))</f>
        <v/>
      </c>
      <c r="W76" s="22" t="str">
        <f>IF(テーブル14[[#This Row],[変更種別]]="削除",
       "",
       IF(テーブル14[[#This Row],[priority / 変更後]]="",テーブル14[[#This Row],[priority]],テーブル14[[#This Row],[priority / 変更後]]))</f>
        <v>1</v>
      </c>
      <c r="X7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https://itochucorp.sharepoint.com/sites/intra-tokgv/system/SitePages/tel_index.aspx
　後: https://itochucorp.sharepoint.com/sites/intra-tokgv-tel_fax
</v>
      </c>
    </row>
    <row r="77" spans="1:24" ht="57" x14ac:dyDescent="0.25">
      <c r="A77" s="20" t="s">
        <v>773</v>
      </c>
      <c r="B77" s="20" t="s">
        <v>999</v>
      </c>
      <c r="C77" s="20" t="s">
        <v>30</v>
      </c>
      <c r="D77" s="20" t="s">
        <v>28</v>
      </c>
      <c r="E77" s="20" t="s">
        <v>29</v>
      </c>
      <c r="F77" s="20" t="s">
        <v>864</v>
      </c>
      <c r="G77" s="20"/>
      <c r="H77" s="20" t="s">
        <v>999</v>
      </c>
      <c r="I77" s="21" t="s">
        <v>975</v>
      </c>
      <c r="J77" s="21"/>
      <c r="K77" s="21"/>
      <c r="L77" s="21" t="s">
        <v>1031</v>
      </c>
      <c r="M77" s="21"/>
      <c r="N77" s="21" t="s">
        <v>1189</v>
      </c>
      <c r="O77" s="21"/>
      <c r="P77" s="22" t="str">
        <f>IF(_xlfn.CONCAT(テーブル14[[#This Row],[変更種別]:[keywords / 変更]])&lt;&gt;"","","*")</f>
        <v/>
      </c>
      <c r="Q77" s="22" t="str">
        <f>IF(テーブル14[[#This Row],[変更種別]]="削除","2",IF(テーブル14[[#This Row],[_ex2]]="","1",""))</f>
        <v>1</v>
      </c>
      <c r="R77" s="22" t="str">
        <f>IF(テーブル14[[#This Row],[変更種別]]="新規","",テーブル14[[#This Row],[id]])</f>
        <v>e2a7e90c-1542-4d86-98b4-6e53d0c802b5</v>
      </c>
      <c r="S77" s="22" t="str">
        <f>IF(テーブル14[[#This Row],[変更種別]]="削除",
       "",
       IF(テーブル14[[#This Row],[title / 変更]]="",テーブル14[[#This Row],[title]],テーブル14[[#This Row],[title / 変更]]))</f>
        <v>Box ヘルプサイト</v>
      </c>
      <c r="T77" s="22" t="str">
        <f>IF(テーブル14[[#This Row],[変更種別]]="削除",
       "",
       IF(テーブル14[[#This Row],[url / 変更]]="",テーブル14[[#This Row],[url]],テーブル14[[#This Row],[url / 変更]]))</f>
        <v>https://itochucorp.sharepoint.com/sites/intra-tokgv-box</v>
      </c>
      <c r="U77" s="22" t="str">
        <f>IF(テーブル14[[#This Row],[変更種別]]="削除",
       "",
       IF(テーブル14[[#This Row],[keywords / 変更]]="",テーブル14[[#This Row],[keywords]],テーブル14[[#This Row],[keywords / 変更]]))</f>
        <v>[ "box", "ｂｏｘ" ]</v>
      </c>
      <c r="V77" s="22" t="str">
        <f>IF(テーブル14[[#This Row],[変更種別]]="削除",
       "",
       IF(テーブル14[[#This Row],[comment]]="","",テーブル14[[#This Row],[comment]]))</f>
        <v/>
      </c>
      <c r="W77" s="22" t="str">
        <f>IF(テーブル14[[#This Row],[変更種別]]="削除",
       "",
       IF(テーブル14[[#This Row],[priority / 変更後]]="",テーブル14[[#This Row],[priority]],テーブル14[[#This Row],[priority / 変更後]]))</f>
        <v>1</v>
      </c>
      <c r="X7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"BOX", "box", "Box" ]
　後: [ "box", "ｂｏｘ" ]
</v>
      </c>
    </row>
    <row r="78" spans="1:24" x14ac:dyDescent="0.25">
      <c r="A78" s="20" t="s">
        <v>773</v>
      </c>
      <c r="B78" s="20" t="s">
        <v>999</v>
      </c>
      <c r="C78" s="20" t="s">
        <v>865</v>
      </c>
      <c r="D78" s="20" t="s">
        <v>866</v>
      </c>
      <c r="E78" s="20" t="s">
        <v>867</v>
      </c>
      <c r="F78" s="20" t="s">
        <v>868</v>
      </c>
      <c r="G78" s="20"/>
      <c r="H78" s="20" t="s">
        <v>999</v>
      </c>
      <c r="I78" s="21" t="s">
        <v>1002</v>
      </c>
      <c r="J78" s="21"/>
      <c r="K78" s="21"/>
      <c r="L78" s="21"/>
      <c r="M78" s="21"/>
      <c r="N78" s="21"/>
      <c r="O78" s="21" t="s">
        <v>1032</v>
      </c>
      <c r="P78" s="22" t="str">
        <f>IF(_xlfn.CONCAT(テーブル14[[#This Row],[変更種別]:[keywords / 変更]])&lt;&gt;"","","*")</f>
        <v/>
      </c>
      <c r="Q78" s="22" t="str">
        <f>IF(テーブル14[[#This Row],[変更種別]]="削除","2",IF(テーブル14[[#This Row],[_ex2]]="","1",""))</f>
        <v>2</v>
      </c>
      <c r="R78" s="22" t="str">
        <f>IF(テーブル14[[#This Row],[変更種別]]="新規","",テーブル14[[#This Row],[id]])</f>
        <v>f5c0abad-65b0-43a6-a6ed-871534d71182</v>
      </c>
      <c r="S78" s="22" t="str">
        <f>IF(テーブル14[[#This Row],[変更種別]]="削除",
       "",
       IF(テーブル14[[#This Row],[title / 変更]]="",テーブル14[[#This Row],[title]],テーブル14[[#This Row],[title / 変更]]))</f>
        <v/>
      </c>
      <c r="T78" s="22" t="str">
        <f>IF(テーブル14[[#This Row],[変更種別]]="削除",
       "",
       IF(テーブル14[[#This Row],[url / 変更]]="",テーブル14[[#This Row],[url]],テーブル14[[#This Row],[url / 変更]]))</f>
        <v/>
      </c>
      <c r="U78" s="22" t="str">
        <f>IF(テーブル14[[#This Row],[変更種別]]="削除",
       "",
       IF(テーブル14[[#This Row],[keywords / 変更]]="",テーブル14[[#This Row],[keywords]],テーブル14[[#This Row],[keywords / 変更]]))</f>
        <v/>
      </c>
      <c r="V78" s="22" t="str">
        <f>IF(テーブル14[[#This Row],[変更種別]]="削除",
       "",
       IF(テーブル14[[#This Row],[comment]]="","",テーブル14[[#This Row],[comment]]))</f>
        <v/>
      </c>
      <c r="W78" s="22" t="str">
        <f>IF(テーブル14[[#This Row],[変更種別]]="削除",
       "",
       IF(テーブル14[[#This Row],[priority / 変更後]]="",テーブル14[[#This Row],[priority]],テーブル14[[#This Row],[priority / 変更後]]))</f>
        <v/>
      </c>
      <c r="X7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79" spans="1:24" ht="57" x14ac:dyDescent="0.25">
      <c r="A79" s="20" t="s">
        <v>773</v>
      </c>
      <c r="B79" s="20" t="s">
        <v>999</v>
      </c>
      <c r="C79" s="20" t="s">
        <v>120</v>
      </c>
      <c r="D79" s="20" t="s">
        <v>118</v>
      </c>
      <c r="E79" s="20" t="s">
        <v>119</v>
      </c>
      <c r="F79" s="20" t="s">
        <v>869</v>
      </c>
      <c r="G79" s="20"/>
      <c r="H79" s="20" t="s">
        <v>999</v>
      </c>
      <c r="I79" s="21" t="s">
        <v>975</v>
      </c>
      <c r="J79" s="21"/>
      <c r="K79" s="21"/>
      <c r="L79" s="21" t="s">
        <v>1033</v>
      </c>
      <c r="M79" s="21"/>
      <c r="N79" s="21" t="s">
        <v>1189</v>
      </c>
      <c r="O79" s="21"/>
      <c r="P79" s="22" t="str">
        <f>IF(_xlfn.CONCAT(テーブル14[[#This Row],[変更種別]:[keywords / 変更]])&lt;&gt;"","","*")</f>
        <v/>
      </c>
      <c r="Q79" s="22" t="str">
        <f>IF(テーブル14[[#This Row],[変更種別]]="削除","2",IF(テーブル14[[#This Row],[_ex2]]="","1",""))</f>
        <v>1</v>
      </c>
      <c r="R79" s="22" t="str">
        <f>IF(テーブル14[[#This Row],[変更種別]]="新規","",テーブル14[[#This Row],[id]])</f>
        <v>40f06a2b-5b96-4112-8d01-7aea70594593</v>
      </c>
      <c r="S79" s="22" t="str">
        <f>IF(テーブル14[[#This Row],[変更種別]]="削除",
       "",
       IF(テーブル14[[#This Row],[title / 変更]]="",テーブル14[[#This Row],[title]],テーブル14[[#This Row],[title / 変更]]))</f>
        <v>MHANA ヘルプサイト</v>
      </c>
      <c r="T79" s="22" t="str">
        <f>IF(テーブル14[[#This Row],[変更種別]]="削除",
       "",
       IF(テーブル14[[#This Row],[url / 変更]]="",テーブル14[[#This Row],[url]],テーブル14[[#This Row],[url / 変更]]))</f>
        <v>https://itochucorp.sharepoint.com/sites/intra-tokgv-MHANA/SitePages/m21h_index.aspx</v>
      </c>
      <c r="U79" s="22" t="str">
        <f>IF(テーブル14[[#This Row],[変更種別]]="削除",
       "",
       IF(テーブル14[[#This Row],[keywords / 変更]]="",テーブル14[[#This Row],[keywords]],テーブル14[[#This Row],[keywords / 変更]]))</f>
        <v>[ "mhana", "ｍｈａｎａ", "sap", "ｓａｐ", "mission", "ｍｉｓｓｉｏｎ", "mission21", "ｍｉｓｓｉｏｎ２１" ]</v>
      </c>
      <c r="V79" s="22" t="str">
        <f>IF(テーブル14[[#This Row],[変更種別]]="削除",
       "",
       IF(テーブル14[[#This Row],[comment]]="","",テーブル14[[#This Row],[comment]]))</f>
        <v/>
      </c>
      <c r="W79" s="22" t="str">
        <f>IF(テーブル14[[#This Row],[変更種別]]="削除",
       "",
       IF(テーブル14[[#This Row],[priority / 変更後]]="",テーブル14[[#This Row],[priority]],テーブル14[[#This Row],[priority / 変更後]]))</f>
        <v>1</v>
      </c>
      <c r="X7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"MHANA", "SAP", "Mission21", "mission21" ]
　後: [ "mhana", "ｍｈａｎａ", "sap", "ｓａｐ", "mission", "ｍｉｓｓｉｏｎ", "mission21", "ｍｉｓｓｉｏｎ２１" ]
</v>
      </c>
    </row>
    <row r="80" spans="1:24" ht="57" x14ac:dyDescent="0.25">
      <c r="A80" s="20" t="s">
        <v>773</v>
      </c>
      <c r="B80" s="20" t="s">
        <v>999</v>
      </c>
      <c r="C80" s="20" t="s">
        <v>73</v>
      </c>
      <c r="D80" s="20" t="s">
        <v>71</v>
      </c>
      <c r="E80" s="20" t="s">
        <v>72</v>
      </c>
      <c r="F80" s="20" t="s">
        <v>870</v>
      </c>
      <c r="G80" s="20"/>
      <c r="H80" s="20" t="s">
        <v>999</v>
      </c>
      <c r="I80" s="21" t="s">
        <v>975</v>
      </c>
      <c r="J80" s="21"/>
      <c r="K80" s="21"/>
      <c r="L80" s="21" t="s">
        <v>1034</v>
      </c>
      <c r="M80" s="21"/>
      <c r="N80" s="21" t="s">
        <v>1189</v>
      </c>
      <c r="O80" s="21"/>
      <c r="P80" s="22" t="str">
        <f>IF(_xlfn.CONCAT(テーブル14[[#This Row],[変更種別]:[keywords / 変更]])&lt;&gt;"","","*")</f>
        <v/>
      </c>
      <c r="Q80" s="22" t="str">
        <f>IF(テーブル14[[#This Row],[変更種別]]="削除","2",IF(テーブル14[[#This Row],[_ex2]]="","1",""))</f>
        <v>1</v>
      </c>
      <c r="R80" s="22" t="str">
        <f>IF(テーブル14[[#This Row],[変更種別]]="新規","",テーブル14[[#This Row],[id]])</f>
        <v>6aed9c23-ec9a-4742-a342-3eb4cb36c807</v>
      </c>
      <c r="S80" s="22" t="str">
        <f>IF(テーブル14[[#This Row],[変更種別]]="削除",
       "",
       IF(テーブル14[[#This Row],[title / 変更]]="",テーブル14[[#This Row],[title]],テーブル14[[#This Row],[title / 変更]]))</f>
        <v>HANABI ヘルプサイト</v>
      </c>
      <c r="T80" s="22" t="str">
        <f>IF(テーブル14[[#This Row],[変更種別]]="削除",
       "",
       IF(テーブル14[[#This Row],[url / 変更]]="",テーブル14[[#This Row],[url]],テーブル14[[#This Row],[url / 変更]]))</f>
        <v>http://hanabi.intra.itochu.co.jp/hanabi/top/</v>
      </c>
      <c r="U80" s="22" t="str">
        <f>IF(テーブル14[[#This Row],[変更種別]]="削除",
       "",
       IF(テーブル14[[#This Row],[keywords / 変更]]="",テーブル14[[#This Row],[keywords]],テーブル14[[#This Row],[keywords / 変更]]))</f>
        <v>[ "hanabi", "ｈａｎａｂｉ" ]</v>
      </c>
      <c r="V80" s="22" t="str">
        <f>IF(テーブル14[[#This Row],[変更種別]]="削除",
       "",
       IF(テーブル14[[#This Row],[comment]]="","",テーブル14[[#This Row],[comment]]))</f>
        <v/>
      </c>
      <c r="W80" s="22" t="str">
        <f>IF(テーブル14[[#This Row],[変更種別]]="削除",
       "",
       IF(テーブル14[[#This Row],[priority / 変更後]]="",テーブル14[[#This Row],[priority]],テーブル14[[#This Row],[priority / 変更後]]))</f>
        <v>1</v>
      </c>
      <c r="X8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"hanabi", "HANABI" ]
　後: [ "hanabi", "ｈａｎａｂｉ" ]
</v>
      </c>
    </row>
    <row r="81" spans="1:24" ht="57" x14ac:dyDescent="0.25">
      <c r="A81" s="20" t="s">
        <v>773</v>
      </c>
      <c r="B81" s="20" t="s">
        <v>999</v>
      </c>
      <c r="C81" s="20" t="s">
        <v>179</v>
      </c>
      <c r="D81" s="20" t="s">
        <v>177</v>
      </c>
      <c r="E81" s="20" t="s">
        <v>178</v>
      </c>
      <c r="F81" s="20" t="s">
        <v>871</v>
      </c>
      <c r="G81" s="20"/>
      <c r="H81" s="20" t="s">
        <v>999</v>
      </c>
      <c r="I81" s="21" t="s">
        <v>975</v>
      </c>
      <c r="J81" s="21"/>
      <c r="K81" s="21"/>
      <c r="L81" s="21" t="s">
        <v>1035</v>
      </c>
      <c r="M81" s="21"/>
      <c r="N81" s="21" t="s">
        <v>1189</v>
      </c>
      <c r="O81" s="21"/>
      <c r="P81" s="22" t="str">
        <f>IF(_xlfn.CONCAT(テーブル14[[#This Row],[変更種別]:[keywords / 変更]])&lt;&gt;"","","*")</f>
        <v/>
      </c>
      <c r="Q81" s="22" t="str">
        <f>IF(テーブル14[[#This Row],[変更種別]]="削除","2",IF(テーブル14[[#This Row],[_ex2]]="","1",""))</f>
        <v>1</v>
      </c>
      <c r="R81" s="22" t="str">
        <f>IF(テーブル14[[#This Row],[変更種別]]="新規","",テーブル14[[#This Row],[id]])</f>
        <v>4bc95633-9db8-42c4-a9f4-233953b1de83</v>
      </c>
      <c r="S81" s="22" t="str">
        <f>IF(テーブル14[[#This Row],[変更種別]]="削除",
       "",
       IF(テーブル14[[#This Row],[title / 変更]]="",テーブル14[[#This Row],[title]],テーブル14[[#This Row],[title / 変更]]))</f>
        <v>Unicornシステム TOPページ</v>
      </c>
      <c r="T81" s="22" t="str">
        <f>IF(テーブル14[[#This Row],[変更種別]]="削除",
       "",
       IF(テーブル14[[#This Row],[url / 変更]]="",テーブル14[[#This Row],[url]],テーブル14[[#This Row],[url / 変更]]))</f>
        <v>http://unicorn-ap/Pages/Default.aspx</v>
      </c>
      <c r="U81" s="22" t="str">
        <f>IF(テーブル14[[#This Row],[変更種別]]="削除",
       "",
       IF(テーブル14[[#This Row],[keywords / 変更]]="",テーブル14[[#This Row],[keywords]],テーブル14[[#This Row],[keywords / 変更]]))</f>
        <v>[ "unicorn", "ｕｎｉｃｏｒｎ" ]</v>
      </c>
      <c r="V81" s="22" t="str">
        <f>IF(テーブル14[[#This Row],[変更種別]]="削除",
       "",
       IF(テーブル14[[#This Row],[comment]]="","",テーブル14[[#This Row],[comment]]))</f>
        <v/>
      </c>
      <c r="W81" s="22" t="str">
        <f>IF(テーブル14[[#This Row],[変更種別]]="削除",
       "",
       IF(テーブル14[[#This Row],[priority / 変更後]]="",テーブル14[[#This Row],[priority]],テーブル14[[#This Row],[priority / 変更後]]))</f>
        <v>1</v>
      </c>
      <c r="X8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"unicorn" ]
　後: [ "unicorn", "ｕｎｉｃｏｒｎ" ]
</v>
      </c>
    </row>
    <row r="82" spans="1:24" ht="57" x14ac:dyDescent="0.25">
      <c r="A82" s="20" t="s">
        <v>773</v>
      </c>
      <c r="B82" s="20" t="s">
        <v>999</v>
      </c>
      <c r="C82" s="20" t="s">
        <v>85</v>
      </c>
      <c r="D82" s="20" t="s">
        <v>83</v>
      </c>
      <c r="E82" s="20" t="s">
        <v>84</v>
      </c>
      <c r="F82" s="20" t="s">
        <v>872</v>
      </c>
      <c r="G82" s="20"/>
      <c r="H82" s="20" t="s">
        <v>999</v>
      </c>
      <c r="I82" s="21" t="s">
        <v>975</v>
      </c>
      <c r="J82" s="21"/>
      <c r="K82" s="21"/>
      <c r="L82" s="21" t="s">
        <v>1036</v>
      </c>
      <c r="M82" s="21"/>
      <c r="N82" s="21" t="s">
        <v>1189</v>
      </c>
      <c r="O82" s="21"/>
      <c r="P82" s="22" t="str">
        <f>IF(_xlfn.CONCAT(テーブル14[[#This Row],[変更種別]:[keywords / 変更]])&lt;&gt;"","","*")</f>
        <v/>
      </c>
      <c r="Q82" s="22" t="str">
        <f>IF(テーブル14[[#This Row],[変更種別]]="削除","2",IF(テーブル14[[#This Row],[_ex2]]="","1",""))</f>
        <v>1</v>
      </c>
      <c r="R82" s="22" t="str">
        <f>IF(テーブル14[[#This Row],[変更種別]]="新規","",テーブル14[[#This Row],[id]])</f>
        <v>0f918f2c-626e-46c1-b2b2-aeada0998458</v>
      </c>
      <c r="S82" s="22" t="str">
        <f>IF(テーブル14[[#This Row],[変更種別]]="削除",
       "",
       IF(テーブル14[[#This Row],[title / 変更]]="",テーブル14[[#This Row],[title]],テーブル14[[#This Row],[title / 変更]]))</f>
        <v>iPad ヘルプサイト</v>
      </c>
      <c r="T82" s="22" t="str">
        <f>IF(テーブル14[[#This Row],[変更種別]]="削除",
       "",
       IF(テーブル14[[#This Row],[url / 変更]]="",テーブル14[[#This Row],[url]],テーブル14[[#This Row],[url / 変更]]))</f>
        <v>https://itochucorp.sharepoint.com/sites/intra-tokgv-ipad</v>
      </c>
      <c r="U82" s="22" t="str">
        <f>IF(テーブル14[[#This Row],[変更種別]]="削除",
       "",
       IF(テーブル14[[#This Row],[keywords / 変更]]="",テーブル14[[#This Row],[keywords]],テーブル14[[#This Row],[keywords / 変更]]))</f>
        <v>[ "ipad", "ｉｐａｄ" ]</v>
      </c>
      <c r="V82" s="22" t="str">
        <f>IF(テーブル14[[#This Row],[変更種別]]="削除",
       "",
       IF(テーブル14[[#This Row],[comment]]="","",テーブル14[[#This Row],[comment]]))</f>
        <v/>
      </c>
      <c r="W82" s="22" t="str">
        <f>IF(テーブル14[[#This Row],[変更種別]]="削除",
       "",
       IF(テーブル14[[#This Row],[priority / 変更後]]="",テーブル14[[#This Row],[priority]],テーブル14[[#This Row],[priority / 変更後]]))</f>
        <v>1</v>
      </c>
      <c r="X8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"iPad" ]
　後: [ "ipad", "ｉｐａｄ" ]
</v>
      </c>
    </row>
    <row r="83" spans="1:24" ht="57" x14ac:dyDescent="0.25">
      <c r="A83" s="20" t="s">
        <v>773</v>
      </c>
      <c r="B83" s="20" t="s">
        <v>999</v>
      </c>
      <c r="C83" s="20" t="s">
        <v>135</v>
      </c>
      <c r="D83" s="20" t="s">
        <v>133</v>
      </c>
      <c r="E83" s="20" t="s">
        <v>134</v>
      </c>
      <c r="F83" s="20" t="s">
        <v>873</v>
      </c>
      <c r="G83" s="20"/>
      <c r="H83" s="20" t="s">
        <v>999</v>
      </c>
      <c r="I83" s="21" t="s">
        <v>975</v>
      </c>
      <c r="J83" s="21"/>
      <c r="K83" s="21"/>
      <c r="L83" s="21" t="s">
        <v>1037</v>
      </c>
      <c r="M83" s="21"/>
      <c r="N83" s="21" t="s">
        <v>1189</v>
      </c>
      <c r="O83" s="21"/>
      <c r="P83" s="22" t="str">
        <f>IF(_xlfn.CONCAT(テーブル14[[#This Row],[変更種別]:[keywords / 変更]])&lt;&gt;"","","*")</f>
        <v/>
      </c>
      <c r="Q83" s="22" t="str">
        <f>IF(テーブル14[[#This Row],[変更種別]]="削除","2",IF(テーブル14[[#This Row],[_ex2]]="","1",""))</f>
        <v>1</v>
      </c>
      <c r="R83" s="22" t="str">
        <f>IF(テーブル14[[#This Row],[変更種別]]="新規","",テーブル14[[#This Row],[id]])</f>
        <v>bb5dd4e9-4792-42c8-90de-eb8e043fe4a0</v>
      </c>
      <c r="S83" s="22" t="str">
        <f>IF(テーブル14[[#This Row],[変更種別]]="削除",
       "",
       IF(テーブル14[[#This Row],[title / 変更]]="",テーブル14[[#This Row],[title]],テーブル14[[#This Row],[title / 変更]]))</f>
        <v>PEOPLE ヘルプサイト</v>
      </c>
      <c r="T83" s="22" t="str">
        <f>IF(テーブル14[[#This Row],[変更種別]]="削除",
       "",
       IF(テーブル14[[#This Row],[url / 変更]]="",テーブル14[[#This Row],[url]],テーブル14[[#This Row],[url / 変更]]))</f>
        <v>https://itochucorp.sharepoint.com/sites/intra-tokgv-people</v>
      </c>
      <c r="U83" s="22" t="str">
        <f>IF(テーブル14[[#This Row],[変更種別]]="削除",
       "",
       IF(テーブル14[[#This Row],[keywords / 変更]]="",テーブル14[[#This Row],[keywords]],テーブル14[[#This Row],[keywords / 変更]]))</f>
        <v>[ "people", "ｐｅｏｐｌｅ" ]</v>
      </c>
      <c r="V83" s="22" t="str">
        <f>IF(テーブル14[[#This Row],[変更種別]]="削除",
       "",
       IF(テーブル14[[#This Row],[comment]]="","",テーブル14[[#This Row],[comment]]))</f>
        <v/>
      </c>
      <c r="W83" s="22" t="str">
        <f>IF(テーブル14[[#This Row],[変更種別]]="削除",
       "",
       IF(テーブル14[[#This Row],[priority / 変更後]]="",テーブル14[[#This Row],[priority]],テーブル14[[#This Row],[priority / 変更後]]))</f>
        <v>1</v>
      </c>
      <c r="X8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"people" ]
　後: [ "people", "ｐｅｏｐｌｅ" ]
</v>
      </c>
    </row>
    <row r="84" spans="1:24" ht="57" x14ac:dyDescent="0.25">
      <c r="A84" s="20" t="s">
        <v>773</v>
      </c>
      <c r="B84" s="20" t="s">
        <v>999</v>
      </c>
      <c r="C84" s="20" t="s">
        <v>138</v>
      </c>
      <c r="D84" s="20" t="s">
        <v>136</v>
      </c>
      <c r="E84" s="20" t="s">
        <v>137</v>
      </c>
      <c r="F84" s="20" t="s">
        <v>874</v>
      </c>
      <c r="G84" s="20"/>
      <c r="H84" s="20" t="s">
        <v>999</v>
      </c>
      <c r="I84" s="21" t="s">
        <v>975</v>
      </c>
      <c r="J84" s="21"/>
      <c r="K84" s="21"/>
      <c r="L84" s="21" t="s">
        <v>1194</v>
      </c>
      <c r="M84" s="21"/>
      <c r="N84" s="21" t="s">
        <v>1189</v>
      </c>
      <c r="O84" s="21"/>
      <c r="P84" s="22" t="str">
        <f>IF(_xlfn.CONCAT(テーブル14[[#This Row],[変更種別]:[keywords / 変更]])&lt;&gt;"","","*")</f>
        <v/>
      </c>
      <c r="Q84" s="22" t="str">
        <f>IF(テーブル14[[#This Row],[変更種別]]="削除","2",IF(テーブル14[[#This Row],[_ex2]]="","1",""))</f>
        <v>1</v>
      </c>
      <c r="R84" s="22" t="str">
        <f>IF(テーブル14[[#This Row],[変更種別]]="新規","",テーブル14[[#This Row],[id]])</f>
        <v>abe78cd7-4081-44f8-b50e-92065ae9f568</v>
      </c>
      <c r="S84" s="22" t="str">
        <f>IF(テーブル14[[#This Row],[変更種別]]="削除",
       "",
       IF(テーブル14[[#This Row],[title / 変更]]="",テーブル14[[#This Row],[title]],テーブル14[[#This Row],[title / 変更]]))</f>
        <v>PEOPLE</v>
      </c>
      <c r="T84" s="22" t="str">
        <f>IF(テーブル14[[#This Row],[変更種別]]="削除",
       "",
       IF(テーブル14[[#This Row],[url / 変更]]="",テーブル14[[#This Row],[url]],テーブル14[[#This Row],[url / 変更]]))</f>
        <v>https://launcher.myapps.microsoft.com/api/signin/332d51ad-8bcc-45cd-a240-711d59eac694?tenantId=3fc1ae5f-234b-4477-8c32-3767ca00fd4c</v>
      </c>
      <c r="U84" s="22" t="str">
        <f>IF(テーブル14[[#This Row],[変更種別]]="削除",
       "",
       IF(テーブル14[[#This Row],[keywords / 変更]]="",テーブル14[[#This Row],[keywords]],テーブル14[[#This Row],[keywords / 変更]]))</f>
        <v>[ "who'swho", "ｗｈｏ’ｓｗｈｏ", "who's", "ｗｈｏ’ｓ", "who", "ｗｈｏ" ]</v>
      </c>
      <c r="V84" s="22" t="str">
        <f>IF(テーブル14[[#This Row],[変更種別]]="削除",
       "",
       IF(テーブル14[[#This Row],[comment]]="","",テーブル14[[#This Row],[comment]]))</f>
        <v/>
      </c>
      <c r="W84" s="22" t="str">
        <f>IF(テーブル14[[#This Row],[変更種別]]="削除",
       "",
       IF(テーブル14[[#This Row],[priority / 変更後]]="",テーブル14[[#This Row],[priority]],テーブル14[[#This Row],[priority / 変更後]]))</f>
        <v>1</v>
      </c>
      <c r="X8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"people", "who'swho", "who's", "who" ]
　後: [ "who'swho", "ｗｈｏ’ｓｗｈｏ", "who's", "ｗｈｏ’ｓ", "who", "ｗｈｏ" ]
</v>
      </c>
    </row>
    <row r="85" spans="1:24" ht="57" x14ac:dyDescent="0.25">
      <c r="A85" s="20" t="s">
        <v>773</v>
      </c>
      <c r="B85" s="20" t="s">
        <v>999</v>
      </c>
      <c r="C85" s="20" t="s">
        <v>132</v>
      </c>
      <c r="D85" s="20" t="s">
        <v>130</v>
      </c>
      <c r="E85" s="20" t="s">
        <v>131</v>
      </c>
      <c r="F85" s="20" t="s">
        <v>873</v>
      </c>
      <c r="G85" s="20"/>
      <c r="H85" s="20" t="s">
        <v>999</v>
      </c>
      <c r="I85" s="21" t="s">
        <v>975</v>
      </c>
      <c r="J85" s="21"/>
      <c r="K85" s="21"/>
      <c r="L85" s="21" t="s">
        <v>1037</v>
      </c>
      <c r="M85" s="21"/>
      <c r="N85" s="21" t="s">
        <v>1191</v>
      </c>
      <c r="O85" s="21"/>
      <c r="P85" s="22" t="str">
        <f>IF(_xlfn.CONCAT(テーブル14[[#This Row],[変更種別]:[keywords / 変更]])&lt;&gt;"","","*")</f>
        <v/>
      </c>
      <c r="Q85" s="22" t="str">
        <f>IF(テーブル14[[#This Row],[変更種別]]="削除","2",IF(テーブル14[[#This Row],[_ex2]]="","1",""))</f>
        <v>1</v>
      </c>
      <c r="R85" s="22" t="str">
        <f>IF(テーブル14[[#This Row],[変更種別]]="新規","",テーブル14[[#This Row],[id]])</f>
        <v>c9cfe240-8f58-4bc3-aad5-036e47e230eb</v>
      </c>
      <c r="S85" s="22" t="str">
        <f>IF(テーブル14[[#This Row],[変更種別]]="削除",
       "",
       IF(テーブル14[[#This Row],[title / 変更]]="",テーブル14[[#This Row],[title]],テーブル14[[#This Row],[title / 変更]]))</f>
        <v>PEOPLE 情報更新（個人情報、組織情報、管理者）</v>
      </c>
      <c r="T85" s="22" t="str">
        <f>IF(テーブル14[[#This Row],[変更種別]]="削除",
       "",
       IF(テーブル14[[#This Row],[url / 変更]]="",テーブル14[[#This Row],[url]],テーブル14[[#This Row],[url / 変更]]))</f>
        <v>https://itcrtkpw01.itochu.co.jp/main_frame</v>
      </c>
      <c r="U85" s="22" t="str">
        <f>IF(テーブル14[[#This Row],[変更種別]]="削除",
       "",
       IF(テーブル14[[#This Row],[keywords / 変更]]="",テーブル14[[#This Row],[keywords]],テーブル14[[#This Row],[keywords / 変更]]))</f>
        <v>[ "people", "ｐｅｏｐｌｅ" ]</v>
      </c>
      <c r="V85" s="22" t="str">
        <f>IF(テーブル14[[#This Row],[変更種別]]="削除",
       "",
       IF(テーブル14[[#This Row],[comment]]="","",テーブル14[[#This Row],[comment]]))</f>
        <v/>
      </c>
      <c r="W85" s="22" t="str">
        <f>IF(テーブル14[[#This Row],[変更種別]]="削除",
       "",
       IF(テーブル14[[#This Row],[priority / 変更後]]="",テーブル14[[#This Row],[priority]],テーブル14[[#This Row],[priority / 変更後]]))</f>
        <v>2</v>
      </c>
      <c r="X8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"people" ]
　後: [ "people", "ｐｅｏｐｌｅ" ]
</v>
      </c>
    </row>
    <row r="86" spans="1:24" ht="57" x14ac:dyDescent="0.25">
      <c r="A86" s="20" t="s">
        <v>773</v>
      </c>
      <c r="B86" s="20" t="s">
        <v>999</v>
      </c>
      <c r="C86" s="20" t="s">
        <v>141</v>
      </c>
      <c r="D86" s="20" t="s">
        <v>139</v>
      </c>
      <c r="E86" s="20" t="s">
        <v>140</v>
      </c>
      <c r="F86" s="20" t="s">
        <v>875</v>
      </c>
      <c r="G86" s="20"/>
      <c r="H86" s="20" t="s">
        <v>999</v>
      </c>
      <c r="I86" s="21" t="s">
        <v>975</v>
      </c>
      <c r="J86" s="21"/>
      <c r="K86" s="21"/>
      <c r="L86" s="21" t="s">
        <v>1038</v>
      </c>
      <c r="M86" s="21"/>
      <c r="N86" s="21" t="s">
        <v>1192</v>
      </c>
      <c r="O86" s="21"/>
      <c r="P86" s="22" t="str">
        <f>IF(_xlfn.CONCAT(テーブル14[[#This Row],[変更種別]:[keywords / 変更]])&lt;&gt;"","","*")</f>
        <v/>
      </c>
      <c r="Q86" s="22" t="str">
        <f>IF(テーブル14[[#This Row],[変更種別]]="削除","2",IF(テーブル14[[#This Row],[_ex2]]="","1",""))</f>
        <v>1</v>
      </c>
      <c r="R86" s="22" t="str">
        <f>IF(テーブル14[[#This Row],[変更種別]]="新規","",テーブル14[[#This Row],[id]])</f>
        <v>e2b5d468-848a-4a91-958b-2754deecad2f</v>
      </c>
      <c r="S86" s="22" t="str">
        <f>IF(テーブル14[[#This Row],[変更種別]]="削除",
       "",
       IF(テーブル14[[#This Row],[title / 変更]]="",テーブル14[[#This Row],[title]],テーブル14[[#This Row],[title / 変更]]))</f>
        <v>マイタブ／顔写真画像</v>
      </c>
      <c r="T86" s="22" t="str">
        <f>IF(テーブル14[[#This Row],[変更種別]]="削除",
       "",
       IF(テーブル14[[#This Row],[url / 変更]]="",テーブル14[[#This Row],[url]],テーブル14[[#This Row],[url / 変更]]))</f>
        <v>https://itochucorp.sharepoint.com/sites/intra-guideline/SitePages/マイタブ／顔写真画像.aspx</v>
      </c>
      <c r="U86" s="22" t="str">
        <f>IF(テーブル14[[#This Row],[変更種別]]="削除",
       "",
       IF(テーブル14[[#This Row],[keywords / 変更]]="",テーブル14[[#This Row],[keywords]],テーブル14[[#This Row],[keywords / 変更]]))</f>
        <v>[ "people", "ｐｅｏｐｌｅ", "写真", "マイタブ" ]</v>
      </c>
      <c r="V86" s="22" t="str">
        <f>IF(テーブル14[[#This Row],[変更種別]]="削除",
       "",
       IF(テーブル14[[#This Row],[comment]]="","",テーブル14[[#This Row],[comment]]))</f>
        <v/>
      </c>
      <c r="W86" s="22" t="str">
        <f>IF(テーブル14[[#This Row],[変更種別]]="削除",
       "",
       IF(テーブル14[[#This Row],[priority / 変更後]]="",テーブル14[[#This Row],[priority]],テーブル14[[#This Row],[priority / 変更後]]))</f>
        <v>3</v>
      </c>
      <c r="X8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"people", "写真", "マイタブ" ]
　後: [ "people", "ｐｅｏｐｌｅ", "写真", "マイタブ" ]
</v>
      </c>
    </row>
    <row r="87" spans="1:24" ht="57" x14ac:dyDescent="0.25">
      <c r="A87" s="20" t="s">
        <v>773</v>
      </c>
      <c r="B87" s="20" t="s">
        <v>999</v>
      </c>
      <c r="C87" s="20" t="s">
        <v>42</v>
      </c>
      <c r="D87" s="20" t="s">
        <v>40</v>
      </c>
      <c r="E87" s="20" t="s">
        <v>41</v>
      </c>
      <c r="F87" s="20" t="s">
        <v>876</v>
      </c>
      <c r="G87" s="20"/>
      <c r="H87" s="20" t="s">
        <v>999</v>
      </c>
      <c r="I87" s="21" t="s">
        <v>975</v>
      </c>
      <c r="J87" s="21"/>
      <c r="K87" s="21"/>
      <c r="L87" s="21" t="s">
        <v>1039</v>
      </c>
      <c r="M87" s="21"/>
      <c r="N87" s="21" t="s">
        <v>1189</v>
      </c>
      <c r="O87" s="21"/>
      <c r="P87" s="22" t="str">
        <f>IF(_xlfn.CONCAT(テーブル14[[#This Row],[変更種別]:[keywords / 変更]])&lt;&gt;"","","*")</f>
        <v/>
      </c>
      <c r="Q87" s="22" t="str">
        <f>IF(テーブル14[[#This Row],[変更種別]]="削除","2",IF(テーブル14[[#This Row],[_ex2]]="","1",""))</f>
        <v>1</v>
      </c>
      <c r="R87" s="22" t="str">
        <f>IF(テーブル14[[#This Row],[変更種別]]="新規","",テーブル14[[#This Row],[id]])</f>
        <v>a9f034f6-395e-4b15-ba5f-2de55261bf82</v>
      </c>
      <c r="S87" s="22" t="str">
        <f>IF(テーブル14[[#This Row],[変更種別]]="削除",
       "",
       IF(テーブル14[[#This Row],[title / 変更]]="",テーブル14[[#This Row],[title]],テーブル14[[#This Row],[title / 変更]]))</f>
        <v>安全保障管理室</v>
      </c>
      <c r="T87" s="22" t="str">
        <f>IF(テーブル14[[#This Row],[変更種別]]="削除",
       "",
       IF(テーブル14[[#This Row],[url / 変更]]="",テーブル14[[#This Row],[url]],テーブル14[[#This Row],[url / 変更]]))</f>
        <v>https://itochucorp.sharepoint.com/sites/intra-tokuw-tokok/SitePages/TopPage.aspx</v>
      </c>
      <c r="U87" s="22" t="str">
        <f>IF(テーブル14[[#This Row],[変更種別]]="削除",
       "",
       IF(テーブル14[[#This Row],[keywords / 変更]]="",テーブル14[[#This Row],[keywords]],テーブル14[[#This Row],[keywords / 変更]]))</f>
        <v>[ "ecp", "ｅｃｐ", "貿易管理", "貿易管理プログラム" ]</v>
      </c>
      <c r="V87" s="22" t="str">
        <f>IF(テーブル14[[#This Row],[変更種別]]="削除",
       "",
       IF(テーブル14[[#This Row],[comment]]="","",テーブル14[[#This Row],[comment]]))</f>
        <v/>
      </c>
      <c r="W87" s="22" t="str">
        <f>IF(テーブル14[[#This Row],[変更種別]]="削除",
       "",
       IF(テーブル14[[#This Row],[priority / 変更後]]="",テーブル14[[#This Row],[priority]],テーブル14[[#This Row],[priority / 変更後]]))</f>
        <v>1</v>
      </c>
      <c r="X8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"ECP", "貿易管理", "貿易管理プログラム" ]
　後: [ "ecp", "ｅｃｐ", "貿易管理", "貿易管理プログラム" ]
</v>
      </c>
    </row>
    <row r="88" spans="1:24" ht="57" x14ac:dyDescent="0.25">
      <c r="A88" s="20" t="s">
        <v>773</v>
      </c>
      <c r="B88" s="20" t="s">
        <v>999</v>
      </c>
      <c r="C88" s="20" t="s">
        <v>45</v>
      </c>
      <c r="D88" s="20" t="s">
        <v>43</v>
      </c>
      <c r="E88" s="20" t="s">
        <v>44</v>
      </c>
      <c r="F88" s="20" t="s">
        <v>876</v>
      </c>
      <c r="G88" s="20"/>
      <c r="H88" s="20" t="s">
        <v>999</v>
      </c>
      <c r="I88" s="21" t="s">
        <v>975</v>
      </c>
      <c r="J88" s="21"/>
      <c r="K88" s="21"/>
      <c r="L88" s="21" t="s">
        <v>1039</v>
      </c>
      <c r="M88" s="21"/>
      <c r="N88" s="21" t="s">
        <v>1191</v>
      </c>
      <c r="O88" s="21"/>
      <c r="P88" s="22" t="str">
        <f>IF(_xlfn.CONCAT(テーブル14[[#This Row],[変更種別]:[keywords / 変更]])&lt;&gt;"","","*")</f>
        <v/>
      </c>
      <c r="Q88" s="22" t="str">
        <f>IF(テーブル14[[#This Row],[変更種別]]="削除","2",IF(テーブル14[[#This Row],[_ex2]]="","1",""))</f>
        <v>1</v>
      </c>
      <c r="R88" s="22" t="str">
        <f>IF(テーブル14[[#This Row],[変更種別]]="新規","",テーブル14[[#This Row],[id]])</f>
        <v>8530cf8b-5560-46c6-9fac-0d1e1efecafb</v>
      </c>
      <c r="S88" s="22" t="str">
        <f>IF(テーブル14[[#This Row],[変更種別]]="削除",
       "",
       IF(テーブル14[[#This Row],[title / 変更]]="",テーブル14[[#This Row],[title]],テーブル14[[#This Row],[title / 変更]]))</f>
        <v>ECPシステム ログイン（社内）</v>
      </c>
      <c r="T88" s="22" t="str">
        <f>IF(テーブル14[[#This Row],[変更種別]]="削除",
       "",
       IF(テーブル14[[#This Row],[url / 変更]]="",テーブル14[[#This Row],[url]],テーブル14[[#This Row],[url / 変更]]))</f>
        <v>http://ecp.intra.itochu.co.jp/imart/home</v>
      </c>
      <c r="U88" s="22" t="str">
        <f>IF(テーブル14[[#This Row],[変更種別]]="削除",
       "",
       IF(テーブル14[[#This Row],[keywords / 変更]]="",テーブル14[[#This Row],[keywords]],テーブル14[[#This Row],[keywords / 変更]]))</f>
        <v>[ "ecp", "ｅｃｐ", "貿易管理", "貿易管理プログラム" ]</v>
      </c>
      <c r="V88" s="22" t="str">
        <f>IF(テーブル14[[#This Row],[変更種別]]="削除",
       "",
       IF(テーブル14[[#This Row],[comment]]="","",テーブル14[[#This Row],[comment]]))</f>
        <v/>
      </c>
      <c r="W88" s="22" t="str">
        <f>IF(テーブル14[[#This Row],[変更種別]]="削除",
       "",
       IF(テーブル14[[#This Row],[priority / 変更後]]="",テーブル14[[#This Row],[priority]],テーブル14[[#This Row],[priority / 変更後]]))</f>
        <v>2</v>
      </c>
      <c r="X8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"ECP", "貿易管理", "貿易管理プログラム" ]
　後: [ "ecp", "ｅｃｐ", "貿易管理", "貿易管理プログラム" ]
</v>
      </c>
    </row>
    <row r="89" spans="1:24" ht="57" x14ac:dyDescent="0.25">
      <c r="A89" s="20" t="s">
        <v>773</v>
      </c>
      <c r="B89" s="20" t="s">
        <v>999</v>
      </c>
      <c r="C89" s="20" t="s">
        <v>48</v>
      </c>
      <c r="D89" s="20" t="s">
        <v>46</v>
      </c>
      <c r="E89" s="20" t="s">
        <v>47</v>
      </c>
      <c r="F89" s="20" t="s">
        <v>876</v>
      </c>
      <c r="G89" s="20"/>
      <c r="H89" s="20" t="s">
        <v>999</v>
      </c>
      <c r="I89" s="21" t="s">
        <v>975</v>
      </c>
      <c r="J89" s="21"/>
      <c r="K89" s="21"/>
      <c r="L89" s="21" t="s">
        <v>1039</v>
      </c>
      <c r="M89" s="21"/>
      <c r="N89" s="21" t="s">
        <v>1192</v>
      </c>
      <c r="O89" s="21"/>
      <c r="P89" s="22" t="str">
        <f>IF(_xlfn.CONCAT(テーブル14[[#This Row],[変更種別]:[keywords / 変更]])&lt;&gt;"","","*")</f>
        <v/>
      </c>
      <c r="Q89" s="22" t="str">
        <f>IF(テーブル14[[#This Row],[変更種別]]="削除","2",IF(テーブル14[[#This Row],[_ex2]]="","1",""))</f>
        <v>1</v>
      </c>
      <c r="R89" s="22" t="str">
        <f>IF(テーブル14[[#This Row],[変更種別]]="新規","",テーブル14[[#This Row],[id]])</f>
        <v>7befb6fe-4009-4866-9c40-ba66c54590cb</v>
      </c>
      <c r="S89" s="22" t="str">
        <f>IF(テーブル14[[#This Row],[変更種別]]="削除",
       "",
       IF(テーブル14[[#This Row],[title / 変更]]="",テーブル14[[#This Row],[title]],テーブル14[[#This Row],[title / 変更]]))</f>
        <v>ECPシステム ログイン（社外）</v>
      </c>
      <c r="T89" s="22" t="str">
        <f>IF(テーブル14[[#This Row],[変更種別]]="削除",
       "",
       IF(テーブル14[[#This Row],[url / 変更]]="",テーブル14[[#This Row],[url]],テーブル14[[#This Row],[url / 変更]]))</f>
        <v>https://ecp.itochu.co.jp/imart/certification</v>
      </c>
      <c r="U89" s="22" t="str">
        <f>IF(テーブル14[[#This Row],[変更種別]]="削除",
       "",
       IF(テーブル14[[#This Row],[keywords / 変更]]="",テーブル14[[#This Row],[keywords]],テーブル14[[#This Row],[keywords / 変更]]))</f>
        <v>[ "ecp", "ｅｃｐ", "貿易管理", "貿易管理プログラム" ]</v>
      </c>
      <c r="V89" s="22" t="str">
        <f>IF(テーブル14[[#This Row],[変更種別]]="削除",
       "",
       IF(テーブル14[[#This Row],[comment]]="","",テーブル14[[#This Row],[comment]]))</f>
        <v/>
      </c>
      <c r="W89" s="22" t="str">
        <f>IF(テーブル14[[#This Row],[変更種別]]="削除",
       "",
       IF(テーブル14[[#This Row],[priority / 変更後]]="",テーブル14[[#This Row],[priority]],テーブル14[[#This Row],[priority / 変更後]]))</f>
        <v>3</v>
      </c>
      <c r="X8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"ECP", "貿易管理", "貿易管理プログラム" ]
　後: [ "ecp", "ｅｃｐ", "貿易管理", "貿易管理プログラム" ]
</v>
      </c>
    </row>
    <row r="90" spans="1:24" ht="57" x14ac:dyDescent="0.25">
      <c r="A90" s="20" t="s">
        <v>773</v>
      </c>
      <c r="B90" s="20" t="s">
        <v>999</v>
      </c>
      <c r="C90" s="20" t="s">
        <v>33</v>
      </c>
      <c r="D90" s="20" t="s">
        <v>31</v>
      </c>
      <c r="E90" s="20" t="s">
        <v>32</v>
      </c>
      <c r="F90" s="20" t="s">
        <v>877</v>
      </c>
      <c r="G90" s="20"/>
      <c r="H90" s="20" t="s">
        <v>999</v>
      </c>
      <c r="I90" s="21" t="s">
        <v>975</v>
      </c>
      <c r="J90" s="21"/>
      <c r="K90" s="21"/>
      <c r="L90" s="21" t="s">
        <v>1040</v>
      </c>
      <c r="M90" s="21"/>
      <c r="N90" s="21" t="s">
        <v>1191</v>
      </c>
      <c r="O90" s="21"/>
      <c r="P90" s="22" t="str">
        <f>IF(_xlfn.CONCAT(テーブル14[[#This Row],[変更種別]:[keywords / 変更]])&lt;&gt;"","","*")</f>
        <v/>
      </c>
      <c r="Q90" s="22" t="str">
        <f>IF(テーブル14[[#This Row],[変更種別]]="削除","2",IF(テーブル14[[#This Row],[_ex2]]="","1",""))</f>
        <v>1</v>
      </c>
      <c r="R90" s="22" t="str">
        <f>IF(テーブル14[[#This Row],[変更種別]]="新規","",テーブル14[[#This Row],[id]])</f>
        <v>def16bb3-d5eb-4bb1-9ece-29f52631a9dc</v>
      </c>
      <c r="S90" s="22" t="str">
        <f>IF(テーブル14[[#This Row],[変更種別]]="削除",
       "",
       IF(テーブル14[[#This Row],[title / 変更]]="",テーブル14[[#This Row],[title]],テーブル14[[#This Row],[title / 変更]]))</f>
        <v>オフィスサービス</v>
      </c>
      <c r="T90" s="22" t="str">
        <f>IF(テーブル14[[#This Row],[変更種別]]="削除",
       "",
       IF(テーブル14[[#This Row],[url / 変更]]="",テーブル14[[#This Row],[url]],テーブル14[[#This Row],[url / 変更]]))</f>
        <v>https://itochucorp.sharepoint.com/sites/intra-tokpj_ga-office/SitePages/TopPage.aspx</v>
      </c>
      <c r="U90" s="22" t="str">
        <f>IF(テーブル14[[#This Row],[変更種別]]="削除",
       "",
       IF(テーブル14[[#This Row],[keywords / 変更]]="",テーブル14[[#This Row],[keywords]],テーブル14[[#This Row],[keywords / 変更]]))</f>
        <v>[ "dhl", "ｄｈｌ" ]</v>
      </c>
      <c r="V90" s="22" t="str">
        <f>IF(テーブル14[[#This Row],[変更種別]]="削除",
       "",
       IF(テーブル14[[#This Row],[comment]]="","",テーブル14[[#This Row],[comment]]))</f>
        <v/>
      </c>
      <c r="W90" s="22" t="str">
        <f>IF(テーブル14[[#This Row],[変更種別]]="削除",
       "",
       IF(テーブル14[[#This Row],[priority / 変更後]]="",テーブル14[[#This Row],[priority]],テーブル14[[#This Row],[priority / 変更後]]))</f>
        <v>2</v>
      </c>
      <c r="X9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"DHL" ]
　後: [ "dhl", "ｄｈｌ" ]
</v>
      </c>
    </row>
    <row r="91" spans="1:24" ht="57" x14ac:dyDescent="0.25">
      <c r="A91" s="20" t="s">
        <v>773</v>
      </c>
      <c r="B91" s="20" t="s">
        <v>999</v>
      </c>
      <c r="C91" s="20" t="s">
        <v>36</v>
      </c>
      <c r="D91" s="20" t="s">
        <v>34</v>
      </c>
      <c r="E91" s="20" t="s">
        <v>35</v>
      </c>
      <c r="F91" s="20" t="s">
        <v>877</v>
      </c>
      <c r="G91" s="20"/>
      <c r="H91" s="20" t="s">
        <v>999</v>
      </c>
      <c r="I91" s="21" t="s">
        <v>975</v>
      </c>
      <c r="J91" s="21"/>
      <c r="K91" s="21"/>
      <c r="L91" s="21" t="s">
        <v>1040</v>
      </c>
      <c r="M91" s="21"/>
      <c r="N91" s="21" t="s">
        <v>1189</v>
      </c>
      <c r="O91" s="21"/>
      <c r="P91" s="22" t="str">
        <f>IF(_xlfn.CONCAT(テーブル14[[#This Row],[変更種別]:[keywords / 変更]])&lt;&gt;"","","*")</f>
        <v/>
      </c>
      <c r="Q91" s="22" t="str">
        <f>IF(テーブル14[[#This Row],[変更種別]]="削除","2",IF(テーブル14[[#This Row],[_ex2]]="","1",""))</f>
        <v>1</v>
      </c>
      <c r="R91" s="22" t="str">
        <f>IF(テーブル14[[#This Row],[変更種別]]="新規","",テーブル14[[#This Row],[id]])</f>
        <v>6e5d0136-3c94-4486-9e8b-7617c73c6d71</v>
      </c>
      <c r="S91" s="22" t="str">
        <f>IF(テーブル14[[#This Row],[変更種別]]="削除",
       "",
       IF(テーブル14[[#This Row],[title / 変更]]="",テーブル14[[#This Row],[title]],テーブル14[[#This Row],[title / 変更]]))</f>
        <v>MyDHL+ ログイン</v>
      </c>
      <c r="T91" s="22" t="str">
        <f>IF(テーブル14[[#This Row],[変更種別]]="削除",
       "",
       IF(テーブル14[[#This Row],[url / 変更]]="",テーブル14[[#This Row],[url]],テーブル14[[#This Row],[url / 変更]]))</f>
        <v>https://mydhl.express.dhl/jp/ja/auth/login.html</v>
      </c>
      <c r="U91" s="22" t="str">
        <f>IF(テーブル14[[#This Row],[変更種別]]="削除",
       "",
       IF(テーブル14[[#This Row],[keywords / 変更]]="",テーブル14[[#This Row],[keywords]],テーブル14[[#This Row],[keywords / 変更]]))</f>
        <v>[ "dhl", "ｄｈｌ" ]</v>
      </c>
      <c r="V91" s="22" t="str">
        <f>IF(テーブル14[[#This Row],[変更種別]]="削除",
       "",
       IF(テーブル14[[#This Row],[comment]]="","",テーブル14[[#This Row],[comment]]))</f>
        <v/>
      </c>
      <c r="W91" s="22" t="str">
        <f>IF(テーブル14[[#This Row],[変更種別]]="削除",
       "",
       IF(テーブル14[[#This Row],[priority / 変更後]]="",テーブル14[[#This Row],[priority]],テーブル14[[#This Row],[priority / 変更後]]))</f>
        <v>1</v>
      </c>
      <c r="X9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"DHL" ]
　後: [ "dhl", "ｄｈｌ" ]
</v>
      </c>
    </row>
    <row r="92" spans="1:24" ht="57" x14ac:dyDescent="0.25">
      <c r="A92" s="20" t="s">
        <v>773</v>
      </c>
      <c r="B92" s="20" t="s">
        <v>999</v>
      </c>
      <c r="C92" s="20" t="s">
        <v>170</v>
      </c>
      <c r="D92" s="20" t="s">
        <v>168</v>
      </c>
      <c r="E92" s="20" t="s">
        <v>169</v>
      </c>
      <c r="F92" s="20" t="s">
        <v>878</v>
      </c>
      <c r="G92" s="20"/>
      <c r="H92" s="20" t="s">
        <v>999</v>
      </c>
      <c r="I92" s="21" t="s">
        <v>975</v>
      </c>
      <c r="J92" s="21"/>
      <c r="K92" s="21"/>
      <c r="L92" s="21" t="s">
        <v>1041</v>
      </c>
      <c r="M92" s="21"/>
      <c r="N92" s="21" t="s">
        <v>1189</v>
      </c>
      <c r="O92" s="21"/>
      <c r="P92" s="22" t="str">
        <f>IF(_xlfn.CONCAT(テーブル14[[#This Row],[変更種別]:[keywords / 変更]])&lt;&gt;"","","*")</f>
        <v/>
      </c>
      <c r="Q92" s="22" t="str">
        <f>IF(テーブル14[[#This Row],[変更種別]]="削除","2",IF(テーブル14[[#This Row],[_ex2]]="","1",""))</f>
        <v>1</v>
      </c>
      <c r="R92" s="22" t="str">
        <f>IF(テーブル14[[#This Row],[変更種別]]="新規","",テーブル14[[#This Row],[id]])</f>
        <v>bea2149c-2f90-46f9-84a6-3235c1de56a2</v>
      </c>
      <c r="S92" s="22" t="str">
        <f>IF(テーブル14[[#This Row],[変更種別]]="削除",
       "",
       IF(テーブル14[[#This Row],[title / 変更]]="",テーブル14[[#This Row],[title]],テーブル14[[#This Row],[title / 変更]]))</f>
        <v>Teams ヘルプサイト</v>
      </c>
      <c r="T92" s="22" t="str">
        <f>IF(テーブル14[[#This Row],[変更種別]]="削除",
       "",
       IF(テーブル14[[#This Row],[url / 変更]]="",テーブル14[[#This Row],[url]],テーブル14[[#This Row],[url / 変更]]))</f>
        <v>https://itochucorp.sharepoint.com/sites/intra-tokgv-teams</v>
      </c>
      <c r="U92" s="22" t="str">
        <f>IF(テーブル14[[#This Row],[変更種別]]="削除",
       "",
       IF(テーブル14[[#This Row],[keywords / 変更]]="",テーブル14[[#This Row],[keywords]],テーブル14[[#This Row],[keywords / 変更]]))</f>
        <v>[ "teams", "ｔｅａｍｓ" ]</v>
      </c>
      <c r="V92" s="22" t="str">
        <f>IF(テーブル14[[#This Row],[変更種別]]="削除",
       "",
       IF(テーブル14[[#This Row],[comment]]="","",テーブル14[[#This Row],[comment]]))</f>
        <v/>
      </c>
      <c r="W92" s="22" t="str">
        <f>IF(テーブル14[[#This Row],[変更種別]]="削除",
       "",
       IF(テーブル14[[#This Row],[priority / 変更後]]="",テーブル14[[#This Row],[priority]],テーブル14[[#This Row],[priority / 変更後]]))</f>
        <v>1</v>
      </c>
      <c r="X9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"teams", "Teams", "TEAMS" ]
　後: [ "teams", "ｔｅａｍｓ" ]
</v>
      </c>
    </row>
    <row r="93" spans="1:24" ht="57" x14ac:dyDescent="0.25">
      <c r="A93" s="20" t="s">
        <v>773</v>
      </c>
      <c r="B93" s="20" t="s">
        <v>999</v>
      </c>
      <c r="C93" s="20" t="s">
        <v>101</v>
      </c>
      <c r="D93" s="20" t="s">
        <v>99</v>
      </c>
      <c r="E93" s="20" t="s">
        <v>100</v>
      </c>
      <c r="F93" s="20" t="s">
        <v>879</v>
      </c>
      <c r="G93" s="20"/>
      <c r="H93" s="20" t="s">
        <v>999</v>
      </c>
      <c r="I93" s="21" t="s">
        <v>975</v>
      </c>
      <c r="J93" s="21"/>
      <c r="K93" s="21"/>
      <c r="L93" s="21" t="s">
        <v>1042</v>
      </c>
      <c r="M93" s="21"/>
      <c r="N93" s="21" t="s">
        <v>1189</v>
      </c>
      <c r="O93" s="21"/>
      <c r="P93" s="22" t="str">
        <f>IF(_xlfn.CONCAT(テーブル14[[#This Row],[変更種別]:[keywords / 変更]])&lt;&gt;"","","*")</f>
        <v/>
      </c>
      <c r="Q93" s="22" t="str">
        <f>IF(テーブル14[[#This Row],[変更種別]]="削除","2",IF(テーブル14[[#This Row],[_ex2]]="","1",""))</f>
        <v>1</v>
      </c>
      <c r="R93" s="22" t="str">
        <f>IF(テーブル14[[#This Row],[変更種別]]="新規","",テーブル14[[#This Row],[id]])</f>
        <v>4247154b-839f-4e74-9632-a729645cac8d</v>
      </c>
      <c r="S93" s="22" t="str">
        <f>IF(テーブル14[[#This Row],[変更種別]]="削除",
       "",
       IF(テーブル14[[#This Row],[title / 変更]]="",テーブル14[[#This Row],[title]],テーブル14[[#This Row],[title / 変更]]))</f>
        <v>I-TRADE ヘルプサイト</v>
      </c>
      <c r="T93" s="22" t="str">
        <f>IF(テーブル14[[#This Row],[変更種別]]="削除",
       "",
       IF(テーブル14[[#This Row],[url / 変更]]="",テーブル14[[#This Row],[url]],テーブル14[[#This Row],[url / 変更]]))</f>
        <v>https://itochucorp.sharepoint.com/sites/extra-tokrg/SitePages/I-TRADE.aspx</v>
      </c>
      <c r="U93" s="22" t="str">
        <f>IF(テーブル14[[#This Row],[変更種別]]="削除",
       "",
       IF(テーブル14[[#This Row],[keywords / 変更]]="",テーブル14[[#This Row],[keywords]],テーブル14[[#This Row],[keywords / 変更]]))</f>
        <v>[ "i-trade", "ｉ－ｔｒａｄｅ" ]</v>
      </c>
      <c r="V93" s="22" t="str">
        <f>IF(テーブル14[[#This Row],[変更種別]]="削除",
       "",
       IF(テーブル14[[#This Row],[comment]]="","",テーブル14[[#This Row],[comment]]))</f>
        <v/>
      </c>
      <c r="W93" s="22" t="str">
        <f>IF(テーブル14[[#This Row],[変更種別]]="削除",
       "",
       IF(テーブル14[[#This Row],[priority / 変更後]]="",テーブル14[[#This Row],[priority]],テーブル14[[#This Row],[priority / 変更後]]))</f>
        <v>1</v>
      </c>
      <c r="X9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"i-trade", "I-TRADE" ]
　後: [ "i-trade", "ｉ－ｔｒａｄｅ" ]
</v>
      </c>
    </row>
    <row r="94" spans="1:24" x14ac:dyDescent="0.25">
      <c r="A94" s="20" t="s">
        <v>773</v>
      </c>
      <c r="B94" s="20" t="s">
        <v>999</v>
      </c>
      <c r="C94" s="20" t="s">
        <v>600</v>
      </c>
      <c r="D94" s="20" t="s">
        <v>598</v>
      </c>
      <c r="E94" s="20" t="s">
        <v>599</v>
      </c>
      <c r="F94" s="20" t="s">
        <v>880</v>
      </c>
      <c r="G94" s="20"/>
      <c r="H94" s="20" t="s">
        <v>999</v>
      </c>
      <c r="I94" s="21" t="s">
        <v>1181</v>
      </c>
      <c r="J94" s="21"/>
      <c r="K94" s="21"/>
      <c r="L94" s="21"/>
      <c r="M94" s="21"/>
      <c r="N94" s="21" t="s">
        <v>1191</v>
      </c>
      <c r="O94" s="21" t="s">
        <v>1193</v>
      </c>
      <c r="P94" s="22" t="str">
        <f>IF(_xlfn.CONCAT(テーブル14[[#This Row],[変更種別]:[keywords / 変更]])&lt;&gt;"","","*")</f>
        <v/>
      </c>
      <c r="Q94" s="22" t="str">
        <f>IF(テーブル14[[#This Row],[変更種別]]="削除","2",IF(テーブル14[[#This Row],[_ex2]]="","1",""))</f>
        <v>1</v>
      </c>
      <c r="R94" s="22" t="str">
        <f>IF(テーブル14[[#This Row],[変更種別]]="新規","",テーブル14[[#This Row],[id]])</f>
        <v>5786d1c1-9186-42aa-be49-6ba16db7e8f9</v>
      </c>
      <c r="S94" s="22" t="str">
        <f>IF(テーブル14[[#This Row],[変更種別]]="削除",
       "",
       IF(テーブル14[[#This Row],[title / 変更]]="",テーブル14[[#This Row],[title]],テーブル14[[#This Row],[title / 変更]]))</f>
        <v>標準請求書 ヘルプサイト</v>
      </c>
      <c r="T94" s="22" t="str">
        <f>IF(テーブル14[[#This Row],[変更種別]]="削除",
       "",
       IF(テーブル14[[#This Row],[url / 変更]]="",テーブル14[[#This Row],[url]],テーブル14[[#This Row],[url / 変更]]))</f>
        <v>https://itochucorp.sharepoint.com/sites/extra-tokgnlevelD/SitePages/system/標準請求書システム.aspx</v>
      </c>
      <c r="U94" s="22" t="str">
        <f>IF(テーブル14[[#This Row],[変更種別]]="削除",
       "",
       IF(テーブル14[[#This Row],[keywords / 変更]]="",テーブル14[[#This Row],[keywords]],テーブル14[[#This Row],[keywords / 変更]]))</f>
        <v>[ "標準請求書" ]</v>
      </c>
      <c r="V94" s="22" t="str">
        <f>IF(テーブル14[[#This Row],[変更種別]]="削除",
       "",
       IF(テーブル14[[#This Row],[comment]]="","",テーブル14[[#This Row],[comment]]))</f>
        <v/>
      </c>
      <c r="W94" s="22" t="str">
        <f>IF(テーブル14[[#This Row],[変更種別]]="削除",
       "",
       IF(テーブル14[[#This Row],[priority / 変更後]]="",テーブル14[[#This Row],[priority]],テーブル14[[#This Row],[priority / 変更後]]))</f>
        <v>2</v>
      </c>
      <c r="X9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95" spans="1:24" x14ac:dyDescent="0.25">
      <c r="A95" s="20" t="s">
        <v>773</v>
      </c>
      <c r="B95" s="20" t="s">
        <v>999</v>
      </c>
      <c r="C95" s="20" t="s">
        <v>597</v>
      </c>
      <c r="D95" s="20" t="s">
        <v>595</v>
      </c>
      <c r="E95" s="20" t="s">
        <v>596</v>
      </c>
      <c r="F95" s="20" t="s">
        <v>880</v>
      </c>
      <c r="G95" s="20"/>
      <c r="H95" s="20" t="s">
        <v>999</v>
      </c>
      <c r="I95" s="21"/>
      <c r="J95" s="21"/>
      <c r="K95" s="21"/>
      <c r="L95" s="21"/>
      <c r="M95" s="21"/>
      <c r="N95" s="21" t="s">
        <v>1189</v>
      </c>
      <c r="O95" s="21"/>
      <c r="P95" s="22" t="str">
        <f>IF(_xlfn.CONCAT(テーブル14[[#This Row],[変更種別]:[keywords / 変更]])&lt;&gt;"","","*")</f>
        <v>*</v>
      </c>
      <c r="Q95" s="22" t="str">
        <f>IF(テーブル14[[#This Row],[変更種別]]="削除","2",IF(テーブル14[[#This Row],[_ex2]]="","1",""))</f>
        <v/>
      </c>
      <c r="R95" s="22" t="str">
        <f>IF(テーブル14[[#This Row],[変更種別]]="新規","",テーブル14[[#This Row],[id]])</f>
        <v>f25f5d4e-b183-402a-a3c6-addcd9d1f985</v>
      </c>
      <c r="S95" s="22" t="str">
        <f>IF(テーブル14[[#This Row],[変更種別]]="削除",
       "",
       IF(テーブル14[[#This Row],[title / 変更]]="",テーブル14[[#This Row],[title]],テーブル14[[#This Row],[title / 変更]]))</f>
        <v>標準請求書 ログイン</v>
      </c>
      <c r="T95" s="22" t="str">
        <f>IF(テーブル14[[#This Row],[変更種別]]="削除",
       "",
       IF(テーブル14[[#This Row],[url / 変更]]="",テーブル14[[#This Row],[url]],テーブル14[[#This Row],[url / 変更]]))</f>
        <v>http://itckccnbweb.intra.itochu.co.jp/invoice-web/</v>
      </c>
      <c r="U95" s="22" t="str">
        <f>IF(テーブル14[[#This Row],[変更種別]]="削除",
       "",
       IF(テーブル14[[#This Row],[keywords / 変更]]="",テーブル14[[#This Row],[keywords]],テーブル14[[#This Row],[keywords / 変更]]))</f>
        <v>[ "標準請求書" ]</v>
      </c>
      <c r="V95" s="22" t="str">
        <f>IF(テーブル14[[#This Row],[変更種別]]="削除",
       "",
       IF(テーブル14[[#This Row],[comment]]="","",テーブル14[[#This Row],[comment]]))</f>
        <v/>
      </c>
      <c r="W95" s="22" t="str">
        <f>IF(テーブル14[[#This Row],[変更種別]]="削除",
       "",
       IF(テーブル14[[#This Row],[priority / 変更後]]="",テーブル14[[#This Row],[priority]],テーブル14[[#This Row],[priority / 変更後]]))</f>
        <v>1</v>
      </c>
      <c r="X9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96" spans="1:24" ht="99.75" x14ac:dyDescent="0.25">
      <c r="A96" s="20" t="s">
        <v>773</v>
      </c>
      <c r="B96" s="20" t="s">
        <v>999</v>
      </c>
      <c r="C96" s="20" t="s">
        <v>128</v>
      </c>
      <c r="D96" s="20" t="s">
        <v>126</v>
      </c>
      <c r="E96" s="20" t="s">
        <v>127</v>
      </c>
      <c r="F96" s="20" t="s">
        <v>881</v>
      </c>
      <c r="G96" s="20"/>
      <c r="H96" s="20" t="s">
        <v>999</v>
      </c>
      <c r="I96" s="21" t="s">
        <v>975</v>
      </c>
      <c r="J96" s="21"/>
      <c r="K96" s="21" t="s">
        <v>1043</v>
      </c>
      <c r="L96" s="21" t="s">
        <v>1044</v>
      </c>
      <c r="M96" s="21"/>
      <c r="N96" s="21" t="s">
        <v>1191</v>
      </c>
      <c r="O96" s="21"/>
      <c r="P96" s="22" t="str">
        <f>IF(_xlfn.CONCAT(テーブル14[[#This Row],[変更種別]:[keywords / 変更]])&lt;&gt;"","","*")</f>
        <v/>
      </c>
      <c r="Q96" s="22" t="str">
        <f>IF(テーブル14[[#This Row],[変更種別]]="削除","2",IF(テーブル14[[#This Row],[_ex2]]="","1",""))</f>
        <v>1</v>
      </c>
      <c r="R96" s="22" t="str">
        <f>IF(テーブル14[[#This Row],[変更種別]]="新規","",テーブル14[[#This Row],[id]])</f>
        <v>2020fd05-6768-48d7-b64c-d9dc01f42ddf</v>
      </c>
      <c r="S96" s="22" t="str">
        <f>IF(テーブル14[[#This Row],[変更種別]]="削除",
       "",
       IF(テーブル14[[#This Row],[title / 変更]]="",テーブル14[[#This Row],[title]],テーブル14[[#This Row],[title / 変更]]))</f>
        <v>OWA 操作手順</v>
      </c>
      <c r="T96" s="22" t="str">
        <f>IF(テーブル14[[#This Row],[変更種別]]="削除",
       "",
       IF(テーブル14[[#This Row],[url / 変更]]="",テーブル14[[#This Row],[url]],テーブル14[[#This Row],[url / 変更]]))</f>
        <v>https://itochucorp.sharepoint.com/sites/intra-tokgv-mail/SitePages/mail_win10_settei.aspx#｜owa(outlook-on-the-web)操作手順</v>
      </c>
      <c r="U96" s="22" t="str">
        <f>IF(テーブル14[[#This Row],[変更種別]]="削除",
       "",
       IF(テーブル14[[#This Row],[keywords / 変更]]="",テーブル14[[#This Row],[keywords]],テーブル14[[#This Row],[keywords / 変更]]))</f>
        <v>[ "owa", "ｏｗａ" ]</v>
      </c>
      <c r="V96" s="22" t="str">
        <f>IF(テーブル14[[#This Row],[変更種別]]="削除",
       "",
       IF(テーブル14[[#This Row],[comment]]="","",テーブル14[[#This Row],[comment]]))</f>
        <v/>
      </c>
      <c r="W96" s="22" t="str">
        <f>IF(テーブル14[[#This Row],[変更種別]]="削除",
       "",
       IF(テーブル14[[#This Row],[priority / 変更後]]="",テーブル14[[#This Row],[priority]],テーブル14[[#This Row],[priority / 変更後]]))</f>
        <v>2</v>
      </c>
      <c r="X9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https://itochucorp.sharepoint.com/sites/intra-tokgv/system/SitePages/mail_win10_settei.aspx#02
　後: https://itochucorp.sharepoint.com/sites/intra-tokgv-mail/SitePages/mail_win10_settei.aspx#｜owa(outlook-on-the-web)操作手順
■ KEYWORDS
　前: [ "OWA", "owa" ]
　後: [ "owa", "ｏｗａ" ]
</v>
      </c>
    </row>
    <row r="97" spans="1:24" ht="57" x14ac:dyDescent="0.25">
      <c r="A97" s="20" t="s">
        <v>773</v>
      </c>
      <c r="B97" s="20" t="s">
        <v>999</v>
      </c>
      <c r="C97" s="20" t="s">
        <v>124</v>
      </c>
      <c r="D97" s="20" t="s">
        <v>122</v>
      </c>
      <c r="E97" s="20" t="s">
        <v>123</v>
      </c>
      <c r="F97" s="20" t="s">
        <v>881</v>
      </c>
      <c r="G97" s="20"/>
      <c r="H97" s="20" t="s">
        <v>999</v>
      </c>
      <c r="I97" s="21" t="s">
        <v>975</v>
      </c>
      <c r="J97" s="21"/>
      <c r="K97" s="21"/>
      <c r="L97" s="21" t="s">
        <v>1044</v>
      </c>
      <c r="M97" s="21"/>
      <c r="N97" s="21" t="s">
        <v>1189</v>
      </c>
      <c r="O97" s="21"/>
      <c r="P97" s="22" t="str">
        <f>IF(_xlfn.CONCAT(テーブル14[[#This Row],[変更種別]:[keywords / 変更]])&lt;&gt;"","","*")</f>
        <v/>
      </c>
      <c r="Q97" s="22" t="str">
        <f>IF(テーブル14[[#This Row],[変更種別]]="削除","2",IF(テーブル14[[#This Row],[_ex2]]="","1",""))</f>
        <v>1</v>
      </c>
      <c r="R97" s="22" t="str">
        <f>IF(テーブル14[[#This Row],[変更種別]]="新規","",テーブル14[[#This Row],[id]])</f>
        <v>458f701b-e974-4ff1-9406-c4ffa92cabf2</v>
      </c>
      <c r="S97" s="22" t="str">
        <f>IF(テーブル14[[#This Row],[変更種別]]="削除",
       "",
       IF(テーブル14[[#This Row],[title / 変更]]="",テーブル14[[#This Row],[title]],テーブル14[[#This Row],[title / 変更]]))</f>
        <v>OWA ログイン</v>
      </c>
      <c r="T97" s="22" t="str">
        <f>IF(テーブル14[[#This Row],[変更種別]]="削除",
       "",
       IF(テーブル14[[#This Row],[url / 変更]]="",テーブル14[[#This Row],[url]],テーブル14[[#This Row],[url / 変更]]))</f>
        <v>https://outlook.office365.com/intra.itochu.co.jp/</v>
      </c>
      <c r="U97" s="22" t="str">
        <f>IF(テーブル14[[#This Row],[変更種別]]="削除",
       "",
       IF(テーブル14[[#This Row],[keywords / 変更]]="",テーブル14[[#This Row],[keywords]],テーブル14[[#This Row],[keywords / 変更]]))</f>
        <v>[ "owa", "ｏｗａ" ]</v>
      </c>
      <c r="V97" s="22" t="str">
        <f>IF(テーブル14[[#This Row],[変更種別]]="削除",
       "",
       IF(テーブル14[[#This Row],[comment]]="","",テーブル14[[#This Row],[comment]]))</f>
        <v/>
      </c>
      <c r="W97" s="22" t="str">
        <f>IF(テーブル14[[#This Row],[変更種別]]="削除",
       "",
       IF(テーブル14[[#This Row],[priority / 変更後]]="",テーブル14[[#This Row],[priority]],テーブル14[[#This Row],[priority / 変更後]]))</f>
        <v>1</v>
      </c>
      <c r="X9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"OWA", "owa" ]
　後: [ "owa", "ｏｗａ" ]
</v>
      </c>
    </row>
    <row r="98" spans="1:24" ht="57" x14ac:dyDescent="0.25">
      <c r="A98" s="20" t="s">
        <v>773</v>
      </c>
      <c r="B98" s="20" t="s">
        <v>999</v>
      </c>
      <c r="C98" s="20" t="s">
        <v>152</v>
      </c>
      <c r="D98" s="20" t="s">
        <v>150</v>
      </c>
      <c r="E98" s="20" t="s">
        <v>151</v>
      </c>
      <c r="F98" s="20" t="s">
        <v>882</v>
      </c>
      <c r="G98" s="20"/>
      <c r="H98" s="20" t="s">
        <v>999</v>
      </c>
      <c r="I98" s="21" t="s">
        <v>975</v>
      </c>
      <c r="J98" s="21"/>
      <c r="K98" s="21"/>
      <c r="L98" s="21" t="s">
        <v>1045</v>
      </c>
      <c r="M98" s="21"/>
      <c r="N98" s="21" t="s">
        <v>1191</v>
      </c>
      <c r="O98" s="21"/>
      <c r="P98" s="22" t="str">
        <f>IF(_xlfn.CONCAT(テーブル14[[#This Row],[変更種別]:[keywords / 変更]])&lt;&gt;"","","*")</f>
        <v/>
      </c>
      <c r="Q98" s="22" t="str">
        <f>IF(テーブル14[[#This Row],[変更種別]]="削除","2",IF(テーブル14[[#This Row],[_ex2]]="","1",""))</f>
        <v>1</v>
      </c>
      <c r="R98" s="22" t="str">
        <f>IF(テーブル14[[#This Row],[変更種別]]="新規","",テーブル14[[#This Row],[id]])</f>
        <v>bf8de741-6ae8-48d3-8dc8-2e465e68e501</v>
      </c>
      <c r="S98" s="22" t="str">
        <f>IF(テーブル14[[#This Row],[変更種別]]="削除",
       "",
       IF(テーブル14[[#This Row],[title / 変更]]="",テーブル14[[#This Row],[title]],テーブル14[[#This Row],[title / 変更]]))</f>
        <v>SanSan ヘルプサイト</v>
      </c>
      <c r="T98" s="22" t="str">
        <f>IF(テーブル14[[#This Row],[変更種別]]="削除",
       "",
       IF(テーブル14[[#This Row],[url / 変更]]="",テーブル14[[#This Row],[url]],テーブル14[[#This Row],[url / 変更]]))</f>
        <v>https://itochucorp.sharepoint.com/sites/intra-tokgv-sansan</v>
      </c>
      <c r="U98" s="22" t="str">
        <f>IF(テーブル14[[#This Row],[変更種別]]="削除",
       "",
       IF(テーブル14[[#This Row],[keywords / 変更]]="",テーブル14[[#This Row],[keywords]],テーブル14[[#This Row],[keywords / 変更]]))</f>
        <v>[ "sansan", "ｓａｎｓａｎ" ]</v>
      </c>
      <c r="V98" s="22" t="str">
        <f>IF(テーブル14[[#This Row],[変更種別]]="削除",
       "",
       IF(テーブル14[[#This Row],[comment]]="","",テーブル14[[#This Row],[comment]]))</f>
        <v/>
      </c>
      <c r="W98" s="22" t="str">
        <f>IF(テーブル14[[#This Row],[変更種別]]="削除",
       "",
       IF(テーブル14[[#This Row],[priority / 変更後]]="",テーブル14[[#This Row],[priority]],テーブル14[[#This Row],[priority / 変更後]]))</f>
        <v>2</v>
      </c>
      <c r="X9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"sansan", "SANSAN", "Sansan", "SanSan" ]
　後: [ "sansan", "ｓａｎｓａｎ" ]
</v>
      </c>
    </row>
    <row r="99" spans="1:24" ht="57" x14ac:dyDescent="0.25">
      <c r="A99" s="20" t="s">
        <v>773</v>
      </c>
      <c r="B99" s="20" t="s">
        <v>999</v>
      </c>
      <c r="C99" s="20" t="s">
        <v>155</v>
      </c>
      <c r="D99" s="20" t="s">
        <v>153</v>
      </c>
      <c r="E99" s="20" t="s">
        <v>154</v>
      </c>
      <c r="F99" s="20" t="s">
        <v>882</v>
      </c>
      <c r="G99" s="20"/>
      <c r="H99" s="20" t="s">
        <v>999</v>
      </c>
      <c r="I99" s="21" t="s">
        <v>975</v>
      </c>
      <c r="J99" s="21"/>
      <c r="K99" s="21"/>
      <c r="L99" s="21" t="s">
        <v>1045</v>
      </c>
      <c r="M99" s="21"/>
      <c r="N99" s="21" t="s">
        <v>1189</v>
      </c>
      <c r="O99" s="21"/>
      <c r="P99" s="22" t="str">
        <f>IF(_xlfn.CONCAT(テーブル14[[#This Row],[変更種別]:[keywords / 変更]])&lt;&gt;"","","*")</f>
        <v/>
      </c>
      <c r="Q99" s="22" t="str">
        <f>IF(テーブル14[[#This Row],[変更種別]]="削除","2",IF(テーブル14[[#This Row],[_ex2]]="","1",""))</f>
        <v>1</v>
      </c>
      <c r="R99" s="22" t="str">
        <f>IF(テーブル14[[#This Row],[変更種別]]="新規","",テーブル14[[#This Row],[id]])</f>
        <v>b59d0e2b-f877-492c-9127-5817cc0b1f13</v>
      </c>
      <c r="S99" s="22" t="str">
        <f>IF(テーブル14[[#This Row],[変更種別]]="削除",
       "",
       IF(テーブル14[[#This Row],[title / 変更]]="",テーブル14[[#This Row],[title]],テーブル14[[#This Row],[title / 変更]]))</f>
        <v>SanSan ログイン</v>
      </c>
      <c r="T99" s="22" t="str">
        <f>IF(テーブル14[[#This Row],[変更種別]]="削除",
       "",
       IF(テーブル14[[#This Row],[url / 変更]]="",テーブル14[[#This Row],[url]],テーブル14[[#This Row],[url / 変更]]))</f>
        <v>https://ap.sansan.com/v/saml2/itochu</v>
      </c>
      <c r="U99" s="22" t="str">
        <f>IF(テーブル14[[#This Row],[変更種別]]="削除",
       "",
       IF(テーブル14[[#This Row],[keywords / 変更]]="",テーブル14[[#This Row],[keywords]],テーブル14[[#This Row],[keywords / 変更]]))</f>
        <v>[ "sansan", "ｓａｎｓａｎ" ]</v>
      </c>
      <c r="V99" s="22" t="str">
        <f>IF(テーブル14[[#This Row],[変更種別]]="削除",
       "",
       IF(テーブル14[[#This Row],[comment]]="","",テーブル14[[#This Row],[comment]]))</f>
        <v/>
      </c>
      <c r="W99" s="22" t="str">
        <f>IF(テーブル14[[#This Row],[変更種別]]="削除",
       "",
       IF(テーブル14[[#This Row],[priority / 変更後]]="",テーブル14[[#This Row],[priority]],テーブル14[[#This Row],[priority / 変更後]]))</f>
        <v>1</v>
      </c>
      <c r="X9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"sansan", "SANSAN", "Sansan", "SanSan" ]
　後: [ "sansan", "ｓａｎｓａｎ" ]
</v>
      </c>
    </row>
    <row r="100" spans="1:24" ht="57" x14ac:dyDescent="0.25">
      <c r="A100" s="20" t="s">
        <v>773</v>
      </c>
      <c r="B100" s="20" t="s">
        <v>999</v>
      </c>
      <c r="C100" s="20" t="s">
        <v>55</v>
      </c>
      <c r="D100" s="20" t="s">
        <v>53</v>
      </c>
      <c r="E100" s="20" t="s">
        <v>54</v>
      </c>
      <c r="F100" s="20" t="s">
        <v>883</v>
      </c>
      <c r="G100" s="20"/>
      <c r="H100" s="20" t="s">
        <v>999</v>
      </c>
      <c r="I100" s="21" t="s">
        <v>975</v>
      </c>
      <c r="J100" s="21"/>
      <c r="K100" s="21"/>
      <c r="L100" s="21" t="s">
        <v>1046</v>
      </c>
      <c r="M100" s="21"/>
      <c r="N100" s="21" t="s">
        <v>1189</v>
      </c>
      <c r="O100" s="21"/>
      <c r="P100" s="22" t="str">
        <f>IF(_xlfn.CONCAT(テーブル14[[#This Row],[変更種別]:[keywords / 変更]])&lt;&gt;"","","*")</f>
        <v/>
      </c>
      <c r="Q100" s="22" t="str">
        <f>IF(テーブル14[[#This Row],[変更種別]]="削除","2",IF(テーブル14[[#This Row],[_ex2]]="","1",""))</f>
        <v>1</v>
      </c>
      <c r="R100" s="22" t="str">
        <f>IF(テーブル14[[#This Row],[変更種別]]="新規","",テーブル14[[#This Row],[id]])</f>
        <v>00324601-4376-4b12-82fb-b86a8104503d</v>
      </c>
      <c r="S100" s="22" t="str">
        <f>IF(テーブル14[[#This Row],[変更種別]]="削除",
       "",
       IF(テーブル14[[#This Row],[title / 変更]]="",テーブル14[[#This Row],[title]],テーブル14[[#This Row],[title / 変更]]))</f>
        <v>e-learning ログイン</v>
      </c>
      <c r="T100" s="22" t="str">
        <f>IF(テーブル14[[#This Row],[変更種別]]="削除",
       "",
       IF(テーブル14[[#This Row],[url / 変更]]="",テーブル14[[#This Row],[url]],テーブル14[[#This Row],[url / 変更]]))</f>
        <v>https://itochucorp.sharepoint.com/sites/intra-e-learning/Shared%20Documents/TopPage.aspx</v>
      </c>
      <c r="U100" s="22" t="str">
        <f>IF(テーブル14[[#This Row],[変更種別]]="削除",
       "",
       IF(テーブル14[[#This Row],[keywords / 変更]]="",テーブル14[[#This Row],[keywords]],テーブル14[[#This Row],[keywords / 変更]]))</f>
        <v>[ "e-learning", "ｅ－ｌｅａｒｎｉｎｇ", "eラーニング", "ｅラーニング" ]</v>
      </c>
      <c r="V100" s="22" t="str">
        <f>IF(テーブル14[[#This Row],[変更種別]]="削除",
       "",
       IF(テーブル14[[#This Row],[comment]]="","",テーブル14[[#This Row],[comment]]))</f>
        <v/>
      </c>
      <c r="W100" s="22" t="str">
        <f>IF(テーブル14[[#This Row],[変更種別]]="削除",
       "",
       IF(テーブル14[[#This Row],[priority / 変更後]]="",テーブル14[[#This Row],[priority]],テーブル14[[#This Row],[priority / 変更後]]))</f>
        <v>1</v>
      </c>
      <c r="X10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"e-learning", "eラーニング" ]
　後: [ "e-learning", "ｅ－ｌｅａｒｎｉｎｇ", "eラーニング", "ｅラーニング" ]
</v>
      </c>
    </row>
    <row r="101" spans="1:24" ht="99.75" x14ac:dyDescent="0.25">
      <c r="A101" s="20" t="s">
        <v>773</v>
      </c>
      <c r="B101" s="20" t="s">
        <v>999</v>
      </c>
      <c r="C101" s="20" t="s">
        <v>52</v>
      </c>
      <c r="D101" s="20" t="s">
        <v>50</v>
      </c>
      <c r="E101" s="20" t="s">
        <v>51</v>
      </c>
      <c r="F101" s="20" t="s">
        <v>883</v>
      </c>
      <c r="G101" s="20"/>
      <c r="H101" s="20" t="s">
        <v>999</v>
      </c>
      <c r="I101" s="21" t="s">
        <v>975</v>
      </c>
      <c r="J101" s="21"/>
      <c r="K101" s="21" t="s">
        <v>1047</v>
      </c>
      <c r="L101" s="21" t="s">
        <v>1046</v>
      </c>
      <c r="M101" s="21"/>
      <c r="N101" s="21" t="s">
        <v>1191</v>
      </c>
      <c r="O101" s="21"/>
      <c r="P101" s="22" t="str">
        <f>IF(_xlfn.CONCAT(テーブル14[[#This Row],[変更種別]:[keywords / 変更]])&lt;&gt;"","","*")</f>
        <v/>
      </c>
      <c r="Q101" s="22" t="str">
        <f>IF(テーブル14[[#This Row],[変更種別]]="削除","2",IF(テーブル14[[#This Row],[_ex2]]="","1",""))</f>
        <v>1</v>
      </c>
      <c r="R101" s="22" t="str">
        <f>IF(テーブル14[[#This Row],[変更種別]]="新規","",テーブル14[[#This Row],[id]])</f>
        <v>711eb3b1-7d97-4db3-b50e-c254146072a4</v>
      </c>
      <c r="S101" s="22" t="str">
        <f>IF(テーブル14[[#This Row],[変更種別]]="削除",
       "",
       IF(テーブル14[[#This Row],[title / 変更]]="",テーブル14[[#This Row],[title]],テーブル14[[#This Row],[title / 変更]]))</f>
        <v>e-learning 制作・開講の流れ</v>
      </c>
      <c r="T101" s="22" t="str">
        <f>IF(テーブル14[[#This Row],[変更種別]]="削除",
       "",
       IF(テーブル14[[#This Row],[url / 変更]]="",テーブル14[[#This Row],[url]],テーブル14[[#This Row],[url / 変更]]))</f>
        <v>https://itochucorp.sharepoint.com/sites/intra-e-learning/SitePages/index.aspx</v>
      </c>
      <c r="U101" s="22" t="str">
        <f>IF(テーブル14[[#This Row],[変更種別]]="削除",
       "",
       IF(テーブル14[[#This Row],[keywords / 変更]]="",テーブル14[[#This Row],[keywords]],テーブル14[[#This Row],[keywords / 変更]]))</f>
        <v>[ "e-learning", "ｅ－ｌｅａｒｎｉｎｇ", "eラーニング", "ｅラーニング" ]</v>
      </c>
      <c r="V101" s="22" t="str">
        <f>IF(テーブル14[[#This Row],[変更種別]]="削除",
       "",
       IF(テーブル14[[#This Row],[comment]]="","",テーブル14[[#This Row],[comment]]))</f>
        <v/>
      </c>
      <c r="W101" s="22" t="str">
        <f>IF(テーブル14[[#This Row],[変更種別]]="削除",
       "",
       IF(テーブル14[[#This Row],[priority / 変更後]]="",テーブル14[[#This Row],[priority]],テーブル14[[#This Row],[priority / 変更後]]))</f>
        <v>2</v>
      </c>
      <c r="X10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https://itochucorp.sharepoint.com/sites/intra-tokgv/system/SitePages/e-learning.aspx
　後: https://itochucorp.sharepoint.com/sites/intra-e-learning/SitePages/index.aspx
■ KEYWORDS
　前: [ "e-learning", "eラーニング" ]
　後: [ "e-learning", "ｅ－ｌｅａｒｎｉｎｇ", "eラーニング", "ｅラーニング" ]
</v>
      </c>
    </row>
    <row r="102" spans="1:24" x14ac:dyDescent="0.25">
      <c r="A102" s="20" t="s">
        <v>773</v>
      </c>
      <c r="B102" s="20" t="s">
        <v>999</v>
      </c>
      <c r="C102" s="20" t="s">
        <v>224</v>
      </c>
      <c r="D102" s="20" t="s">
        <v>222</v>
      </c>
      <c r="E102" s="20" t="s">
        <v>223</v>
      </c>
      <c r="F102" s="20" t="s">
        <v>884</v>
      </c>
      <c r="G102" s="20"/>
      <c r="H102" s="20" t="s">
        <v>999</v>
      </c>
      <c r="I102" s="21"/>
      <c r="J102" s="21"/>
      <c r="K102" s="21"/>
      <c r="L102" s="21"/>
      <c r="M102" s="21"/>
      <c r="N102" s="21" t="s">
        <v>1189</v>
      </c>
      <c r="O102" s="21"/>
      <c r="P102" s="22" t="str">
        <f>IF(_xlfn.CONCAT(テーブル14[[#This Row],[変更種別]:[keywords / 変更]])&lt;&gt;"","","*")</f>
        <v>*</v>
      </c>
      <c r="Q102" s="22" t="str">
        <f>IF(テーブル14[[#This Row],[変更種別]]="削除","2",IF(テーブル14[[#This Row],[_ex2]]="","1",""))</f>
        <v/>
      </c>
      <c r="R102" s="22" t="str">
        <f>IF(テーブル14[[#This Row],[変更種別]]="新規","",テーブル14[[#This Row],[id]])</f>
        <v>3e208209-fd5b-4faf-9bbc-8df5f1691c1b</v>
      </c>
      <c r="S102" s="22" t="str">
        <f>IF(テーブル14[[#This Row],[変更種別]]="削除",
       "",
       IF(テーブル14[[#This Row],[title / 変更]]="",テーブル14[[#This Row],[title]],テーブル14[[#This Row],[title / 変更]]))</f>
        <v>シンクライアント ヘルプサイト</v>
      </c>
      <c r="T102" s="22" t="str">
        <f>IF(テーブル14[[#This Row],[変更種別]]="削除",
       "",
       IF(テーブル14[[#This Row],[url / 変更]]="",テーブル14[[#This Row],[url]],テーブル14[[#This Row],[url / 変更]]))</f>
        <v>https://itochucorp.sharepoint.com/sites/intra-tokgv-thinclient</v>
      </c>
      <c r="U102" s="22" t="str">
        <f>IF(テーブル14[[#This Row],[変更種別]]="削除",
       "",
       IF(テーブル14[[#This Row],[keywords / 変更]]="",テーブル14[[#This Row],[keywords]],テーブル14[[#This Row],[keywords / 変更]]))</f>
        <v>[ "シンクライアント", "シンクラ" ]</v>
      </c>
      <c r="V102" s="22" t="str">
        <f>IF(テーブル14[[#This Row],[変更種別]]="削除",
       "",
       IF(テーブル14[[#This Row],[comment]]="","",テーブル14[[#This Row],[comment]]))</f>
        <v/>
      </c>
      <c r="W102" s="22" t="str">
        <f>IF(テーブル14[[#This Row],[変更種別]]="削除",
       "",
       IF(テーブル14[[#This Row],[priority / 変更後]]="",テーブル14[[#This Row],[priority]],テーブル14[[#This Row],[priority / 変更後]]))</f>
        <v>1</v>
      </c>
      <c r="X10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03" spans="1:24" ht="99.75" x14ac:dyDescent="0.25">
      <c r="A103" s="20" t="s">
        <v>773</v>
      </c>
      <c r="B103" s="20" t="s">
        <v>999</v>
      </c>
      <c r="C103" s="20" t="s">
        <v>247</v>
      </c>
      <c r="D103" s="20" t="s">
        <v>246</v>
      </c>
      <c r="E103" s="20" t="s">
        <v>885</v>
      </c>
      <c r="F103" s="20" t="s">
        <v>886</v>
      </c>
      <c r="G103" s="20"/>
      <c r="H103" s="20" t="s">
        <v>999</v>
      </c>
      <c r="I103" s="21" t="s">
        <v>975</v>
      </c>
      <c r="J103" s="21"/>
      <c r="K103" s="21" t="s">
        <v>751</v>
      </c>
      <c r="L103" s="21" t="s">
        <v>1048</v>
      </c>
      <c r="M103" s="21"/>
      <c r="N103" s="21" t="s">
        <v>1189</v>
      </c>
      <c r="O103" s="21"/>
      <c r="P103" s="22" t="str">
        <f>IF(_xlfn.CONCAT(テーブル14[[#This Row],[変更種別]:[keywords / 変更]])&lt;&gt;"","","*")</f>
        <v/>
      </c>
      <c r="Q103" s="22" t="str">
        <f>IF(テーブル14[[#This Row],[変更種別]]="削除","2",IF(テーブル14[[#This Row],[_ex2]]="","1",""))</f>
        <v>1</v>
      </c>
      <c r="R103" s="22" t="str">
        <f>IF(テーブル14[[#This Row],[変更種別]]="新規","",テーブル14[[#This Row],[id]])</f>
        <v>75586646-9c1f-42a5-83cf-340a3836eba4</v>
      </c>
      <c r="S103" s="22" t="str">
        <f>IF(テーブル14[[#This Row],[変更種別]]="削除",
       "",
       IF(テーブル14[[#This Row],[title / 変更]]="",テーブル14[[#This Row],[title]],テーブル14[[#This Row],[title / 変更]]))</f>
        <v>どこでもLAN ヘルプサイト</v>
      </c>
      <c r="T103" s="22" t="str">
        <f>IF(テーブル14[[#This Row],[変更種別]]="削除",
       "",
       IF(テーブル14[[#This Row],[url / 変更]]="",テーブル14[[#This Row],[url]],テーブル14[[#This Row],[url / 変更]]))</f>
        <v>https://itochucorp.sharepoint.com/sites/intra-tokgv-dokolan</v>
      </c>
      <c r="U103" s="22" t="str">
        <f>IF(テーブル14[[#This Row],[変更種別]]="削除",
       "",
       IF(テーブル14[[#This Row],[keywords / 変更]]="",テーブル14[[#This Row],[keywords]],テーブル14[[#This Row],[keywords / 変更]]))</f>
        <v>[ "どこでもlan", "どこでもｌａｎ", "どこlan", "どこｌａｎ" ]</v>
      </c>
      <c r="V103" s="22" t="str">
        <f>IF(テーブル14[[#This Row],[変更種別]]="削除",
       "",
       IF(テーブル14[[#This Row],[comment]]="","",テーブル14[[#This Row],[comment]]))</f>
        <v/>
      </c>
      <c r="W103" s="22" t="str">
        <f>IF(テーブル14[[#This Row],[変更種別]]="削除",
       "",
       IF(テーブル14[[#This Row],[priority / 変更後]]="",テーブル14[[#This Row],[priority]],テーブル14[[#This Row],[priority / 変更後]]))</f>
        <v>1</v>
      </c>
      <c r="X10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https://itochucorp.sharepoint.com/sites/intra-tokgv/system/SitePages/dokolan_index.aspx
　後: https://itochucorp.sharepoint.com/sites/intra-tokgv-dokolan
■ KEYWORDS
　前: [ "どこでもLAN", "どこLAN" ]
　後: [ "どこでもlan", "どこでもｌａｎ", "どこlan", "どこｌａｎ" ]
</v>
      </c>
    </row>
    <row r="104" spans="1:24" ht="57" x14ac:dyDescent="0.25">
      <c r="A104" s="20" t="s">
        <v>773</v>
      </c>
      <c r="B104" s="20" t="s">
        <v>999</v>
      </c>
      <c r="C104" s="20" t="s">
        <v>94</v>
      </c>
      <c r="D104" s="20" t="s">
        <v>92</v>
      </c>
      <c r="E104" s="20" t="s">
        <v>93</v>
      </c>
      <c r="F104" s="20" t="s">
        <v>887</v>
      </c>
      <c r="G104" s="20"/>
      <c r="H104" s="20" t="s">
        <v>999</v>
      </c>
      <c r="I104" s="21" t="s">
        <v>975</v>
      </c>
      <c r="J104" s="21"/>
      <c r="K104" s="21"/>
      <c r="L104" s="21" t="s">
        <v>1049</v>
      </c>
      <c r="M104" s="21"/>
      <c r="N104" s="21" t="s">
        <v>1192</v>
      </c>
      <c r="O104" s="21"/>
      <c r="P104" s="22" t="str">
        <f>IF(_xlfn.CONCAT(テーブル14[[#This Row],[変更種別]:[keywords / 変更]])&lt;&gt;"","","*")</f>
        <v/>
      </c>
      <c r="Q104" s="22" t="str">
        <f>IF(テーブル14[[#This Row],[変更種別]]="削除","2",IF(テーブル14[[#This Row],[_ex2]]="","1",""))</f>
        <v>1</v>
      </c>
      <c r="R104" s="22" t="str">
        <f>IF(テーブル14[[#This Row],[変更種別]]="新規","",テーブル14[[#This Row],[id]])</f>
        <v>ca7d2e33-0c3d-4817-8757-c877f174c0f3</v>
      </c>
      <c r="S104" s="22" t="str">
        <f>IF(テーブル14[[#This Row],[変更種別]]="削除",
       "",
       IF(テーブル14[[#This Row],[title / 変更]]="",テーブル14[[#This Row],[title]],テーブル14[[#This Row],[title / 変更]]))</f>
        <v>i-STAR ヘルプサイト</v>
      </c>
      <c r="T104" s="22" t="str">
        <f>IF(テーブル14[[#This Row],[変更種別]]="削除",
       "",
       IF(テーブル14[[#This Row],[url / 変更]]="",テーブル14[[#This Row],[url]],テーブル14[[#This Row],[url / 変更]]))</f>
        <v>https://itochucorp.sharepoint.com/sites/intra-tokuw-tokei-trade/SitePages/istar-info.aspx</v>
      </c>
      <c r="U104" s="22" t="str">
        <f>IF(テーブル14[[#This Row],[変更種別]]="削除",
       "",
       IF(テーブル14[[#This Row],[keywords / 変更]]="",テーブル14[[#This Row],[keywords]],テーブル14[[#This Row],[keywords / 変更]]))</f>
        <v>[ "i-star", "ｉ－ｓｔａｒ" ]</v>
      </c>
      <c r="V104" s="22" t="str">
        <f>IF(テーブル14[[#This Row],[変更種別]]="削除",
       "",
       IF(テーブル14[[#This Row],[comment]]="","",テーブル14[[#This Row],[comment]]))</f>
        <v/>
      </c>
      <c r="W104" s="22" t="str">
        <f>IF(テーブル14[[#This Row],[変更種別]]="削除",
       "",
       IF(テーブル14[[#This Row],[priority / 変更後]]="",テーブル14[[#This Row],[priority]],テーブル14[[#This Row],[priority / 変更後]]))</f>
        <v>3</v>
      </c>
      <c r="X10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"I-STAR" ]
　後: [ "i-star", "ｉ－ｓｔａｒ" ]
</v>
      </c>
    </row>
    <row r="105" spans="1:24" ht="57" x14ac:dyDescent="0.25">
      <c r="A105" s="20" t="s">
        <v>773</v>
      </c>
      <c r="B105" s="20" t="s">
        <v>999</v>
      </c>
      <c r="C105" s="20" t="s">
        <v>88</v>
      </c>
      <c r="D105" s="20" t="s">
        <v>86</v>
      </c>
      <c r="E105" s="20" t="s">
        <v>87</v>
      </c>
      <c r="F105" s="20" t="s">
        <v>887</v>
      </c>
      <c r="G105" s="20"/>
      <c r="H105" s="20" t="s">
        <v>999</v>
      </c>
      <c r="I105" s="21" t="s">
        <v>975</v>
      </c>
      <c r="J105" s="21"/>
      <c r="K105" s="21"/>
      <c r="L105" s="21" t="s">
        <v>1049</v>
      </c>
      <c r="M105" s="21"/>
      <c r="N105" s="21" t="s">
        <v>1189</v>
      </c>
      <c r="O105" s="21"/>
      <c r="P105" s="22" t="str">
        <f>IF(_xlfn.CONCAT(テーブル14[[#This Row],[変更種別]:[keywords / 変更]])&lt;&gt;"","","*")</f>
        <v/>
      </c>
      <c r="Q105" s="22" t="str">
        <f>IF(テーブル14[[#This Row],[変更種別]]="削除","2",IF(テーブル14[[#This Row],[_ex2]]="","1",""))</f>
        <v>1</v>
      </c>
      <c r="R105" s="22" t="str">
        <f>IF(テーブル14[[#This Row],[変更種別]]="新規","",テーブル14[[#This Row],[id]])</f>
        <v>381abd3a-04bb-4210-afd0-edc9ba0a00af</v>
      </c>
      <c r="S105" s="22" t="str">
        <f>IF(テーブル14[[#This Row],[変更種別]]="削除",
       "",
       IF(テーブル14[[#This Row],[title / 変更]]="",テーブル14[[#This Row],[title]],テーブル14[[#This Row],[title / 変更]]))</f>
        <v>i-STAR ログイン（社内）</v>
      </c>
      <c r="T105" s="22" t="str">
        <f>IF(テーブル14[[#This Row],[変更種別]]="削除",
       "",
       IF(テーブル14[[#This Row],[url / 変更]]="",テーブル14[[#This Row],[url]],テーブル14[[#This Row],[url / 変更]]))</f>
        <v>http://istar.intra.itochu.co.jp/istar</v>
      </c>
      <c r="U105" s="22" t="str">
        <f>IF(テーブル14[[#This Row],[変更種別]]="削除",
       "",
       IF(テーブル14[[#This Row],[keywords / 変更]]="",テーブル14[[#This Row],[keywords]],テーブル14[[#This Row],[keywords / 変更]]))</f>
        <v>[ "i-star", "ｉ－ｓｔａｒ" ]</v>
      </c>
      <c r="V105" s="22" t="str">
        <f>IF(テーブル14[[#This Row],[変更種別]]="削除",
       "",
       IF(テーブル14[[#This Row],[comment]]="","",テーブル14[[#This Row],[comment]]))</f>
        <v/>
      </c>
      <c r="W105" s="22" t="str">
        <f>IF(テーブル14[[#This Row],[変更種別]]="削除",
       "",
       IF(テーブル14[[#This Row],[priority / 変更後]]="",テーブル14[[#This Row],[priority]],テーブル14[[#This Row],[priority / 変更後]]))</f>
        <v>1</v>
      </c>
      <c r="X10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"I-STAR" ]
　後: [ "i-star", "ｉ－ｓｔａｒ" ]
</v>
      </c>
    </row>
    <row r="106" spans="1:24" ht="57" x14ac:dyDescent="0.25">
      <c r="A106" s="20" t="s">
        <v>773</v>
      </c>
      <c r="B106" s="20" t="s">
        <v>999</v>
      </c>
      <c r="C106" s="20" t="s">
        <v>91</v>
      </c>
      <c r="D106" s="20" t="s">
        <v>89</v>
      </c>
      <c r="E106" s="20" t="s">
        <v>90</v>
      </c>
      <c r="F106" s="20" t="s">
        <v>887</v>
      </c>
      <c r="G106" s="20"/>
      <c r="H106" s="20" t="s">
        <v>999</v>
      </c>
      <c r="I106" s="21" t="s">
        <v>975</v>
      </c>
      <c r="J106" s="21"/>
      <c r="K106" s="21"/>
      <c r="L106" s="21" t="s">
        <v>1049</v>
      </c>
      <c r="M106" s="21"/>
      <c r="N106" s="21" t="s">
        <v>1191</v>
      </c>
      <c r="O106" s="21"/>
      <c r="P106" s="22" t="str">
        <f>IF(_xlfn.CONCAT(テーブル14[[#This Row],[変更種別]:[keywords / 変更]])&lt;&gt;"","","*")</f>
        <v/>
      </c>
      <c r="Q106" s="22" t="str">
        <f>IF(テーブル14[[#This Row],[変更種別]]="削除","2",IF(テーブル14[[#This Row],[_ex2]]="","1",""))</f>
        <v>1</v>
      </c>
      <c r="R106" s="22" t="str">
        <f>IF(テーブル14[[#This Row],[変更種別]]="新規","",テーブル14[[#This Row],[id]])</f>
        <v>7f94ccf7-2ed3-48c0-8a6d-1c845a12f89f</v>
      </c>
      <c r="S106" s="22" t="str">
        <f>IF(テーブル14[[#This Row],[変更種別]]="削除",
       "",
       IF(テーブル14[[#This Row],[title / 変更]]="",テーブル14[[#This Row],[title]],テーブル14[[#This Row],[title / 変更]]))</f>
        <v>i-STAR ログイン（グループ会社）</v>
      </c>
      <c r="T106" s="22" t="str">
        <f>IF(テーブル14[[#This Row],[変更種別]]="削除",
       "",
       IF(テーブル14[[#This Row],[url / 変更]]="",テーブル14[[#This Row],[url]],テーブル14[[#This Row],[url / 変更]]))</f>
        <v>https://istar.itochu.co.jp/</v>
      </c>
      <c r="U106" s="22" t="str">
        <f>IF(テーブル14[[#This Row],[変更種別]]="削除",
       "",
       IF(テーブル14[[#This Row],[keywords / 変更]]="",テーブル14[[#This Row],[keywords]],テーブル14[[#This Row],[keywords / 変更]]))</f>
        <v>[ "i-star", "ｉ－ｓｔａｒ" ]</v>
      </c>
      <c r="V106" s="22" t="str">
        <f>IF(テーブル14[[#This Row],[変更種別]]="削除",
       "",
       IF(テーブル14[[#This Row],[comment]]="","",テーブル14[[#This Row],[comment]]))</f>
        <v/>
      </c>
      <c r="W106" s="22" t="str">
        <f>IF(テーブル14[[#This Row],[変更種別]]="削除",
       "",
       IF(テーブル14[[#This Row],[priority / 変更後]]="",テーブル14[[#This Row],[priority]],テーブル14[[#This Row],[priority / 変更後]]))</f>
        <v>2</v>
      </c>
      <c r="X10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"I-STAR" ]
　後: [ "i-star", "ｉ－ｓｔａｒ" ]
</v>
      </c>
    </row>
    <row r="107" spans="1:24" ht="57" x14ac:dyDescent="0.25">
      <c r="A107" s="20" t="s">
        <v>773</v>
      </c>
      <c r="B107" s="20" t="s">
        <v>999</v>
      </c>
      <c r="C107" s="20" t="s">
        <v>167</v>
      </c>
      <c r="D107" s="20" t="s">
        <v>165</v>
      </c>
      <c r="E107" s="20" t="s">
        <v>166</v>
      </c>
      <c r="F107" s="20" t="s">
        <v>888</v>
      </c>
      <c r="G107" s="20"/>
      <c r="H107" s="20" t="s">
        <v>999</v>
      </c>
      <c r="I107" s="21" t="s">
        <v>975</v>
      </c>
      <c r="J107" s="21"/>
      <c r="K107" s="21"/>
      <c r="L107" s="21" t="s">
        <v>1050</v>
      </c>
      <c r="M107" s="21"/>
      <c r="N107" s="21" t="s">
        <v>1189</v>
      </c>
      <c r="O107" s="21"/>
      <c r="P107" s="22" t="str">
        <f>IF(_xlfn.CONCAT(テーブル14[[#This Row],[変更種別]:[keywords / 変更]])&lt;&gt;"","","*")</f>
        <v/>
      </c>
      <c r="Q107" s="22" t="str">
        <f>IF(テーブル14[[#This Row],[変更種別]]="削除","2",IF(テーブル14[[#This Row],[_ex2]]="","1",""))</f>
        <v>1</v>
      </c>
      <c r="R107" s="22" t="str">
        <f>IF(テーブル14[[#This Row],[変更種別]]="新規","",テーブル14[[#This Row],[id]])</f>
        <v>67a14fdb-9358-427e-9090-b9de1ebfec03</v>
      </c>
      <c r="S107" s="22" t="str">
        <f>IF(テーブル14[[#This Row],[変更種別]]="削除",
       "",
       IF(テーブル14[[#This Row],[title / 変更]]="",テーブル14[[#This Row],[title]],テーブル14[[#This Row],[title / 変更]]))</f>
        <v>経理部 システム関連ページ</v>
      </c>
      <c r="T107" s="22" t="str">
        <f>IF(テーブル14[[#This Row],[変更種別]]="削除",
       "",
       IF(テーブル14[[#This Row],[url / 変更]]="",テーブル14[[#This Row],[url]],テーブル14[[#This Row],[url / 変更]]))</f>
        <v>https://itochucorp.sharepoint.com/sites/intra-tokgn/SitePages/システム関連.aspx</v>
      </c>
      <c r="U107" s="22" t="str">
        <f>IF(テーブル14[[#This Row],[変更種別]]="削除",
       "",
       IF(テーブル14[[#This Row],[keywords / 変更]]="",テーブル14[[#This Row],[keywords]],テーブル14[[#This Row],[keywords / 変更]]))</f>
        <v>[ "stravis", "ｓｔｒａｖｉｓ" ]</v>
      </c>
      <c r="V107" s="22" t="str">
        <f>IF(テーブル14[[#This Row],[変更種別]]="削除",
       "",
       IF(テーブル14[[#This Row],[comment]]="","",テーブル14[[#This Row],[comment]]))</f>
        <v/>
      </c>
      <c r="W107" s="22" t="str">
        <f>IF(テーブル14[[#This Row],[変更種別]]="削除",
       "",
       IF(テーブル14[[#This Row],[priority / 変更後]]="",テーブル14[[#This Row],[priority]],テーブル14[[#This Row],[priority / 変更後]]))</f>
        <v>1</v>
      </c>
      <c r="X10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"stravis" ]
　後: [ "stravis", "ｓｔｒａｖｉｓ" ]
</v>
      </c>
    </row>
    <row r="108" spans="1:24" ht="99.75" x14ac:dyDescent="0.25">
      <c r="A108" s="20" t="s">
        <v>773</v>
      </c>
      <c r="B108" s="20" t="s">
        <v>999</v>
      </c>
      <c r="C108" s="20" t="s">
        <v>64</v>
      </c>
      <c r="D108" s="20" t="s">
        <v>62</v>
      </c>
      <c r="E108" s="20" t="s">
        <v>63</v>
      </c>
      <c r="F108" s="20" t="s">
        <v>889</v>
      </c>
      <c r="G108" s="20"/>
      <c r="H108" s="20" t="s">
        <v>999</v>
      </c>
      <c r="I108" s="21" t="s">
        <v>975</v>
      </c>
      <c r="J108" s="21"/>
      <c r="K108" s="21" t="s">
        <v>1051</v>
      </c>
      <c r="L108" s="21" t="s">
        <v>1052</v>
      </c>
      <c r="M108" s="21"/>
      <c r="N108" s="21" t="s">
        <v>1189</v>
      </c>
      <c r="O108" s="21"/>
      <c r="P108" s="22" t="str">
        <f>IF(_xlfn.CONCAT(テーブル14[[#This Row],[変更種別]:[keywords / 変更]])&lt;&gt;"","","*")</f>
        <v/>
      </c>
      <c r="Q108" s="22" t="str">
        <f>IF(テーブル14[[#This Row],[変更種別]]="削除","2",IF(テーブル14[[#This Row],[_ex2]]="","1",""))</f>
        <v>1</v>
      </c>
      <c r="R108" s="22" t="str">
        <f>IF(テーブル14[[#This Row],[変更種別]]="新規","",テーブル14[[#This Row],[id]])</f>
        <v>7127b198-4c16-43f2-8668-1bfc4aa34ee7</v>
      </c>
      <c r="S108" s="22" t="str">
        <f>IF(テーブル14[[#This Row],[変更種別]]="削除",
       "",
       IF(テーブル14[[#This Row],[title / 変更]]="",テーブル14[[#This Row],[title]],テーブル14[[#This Row],[title / 変更]]))</f>
        <v>FX-Mail ヘルプサイト</v>
      </c>
      <c r="T108" s="22" t="str">
        <f>IF(テーブル14[[#This Row],[変更種別]]="削除",
       "",
       IF(テーブル14[[#This Row],[url / 変更]]="",テーブル14[[#This Row],[url]],テーブル14[[#This Row],[url / 変更]]))</f>
        <v>https://itochucorp.sharepoint.com/sites/extra-tokgq/SitePages/FX-Mail関連.aspx</v>
      </c>
      <c r="U108" s="22" t="str">
        <f>IF(テーブル14[[#This Row],[変更種別]]="削除",
       "",
       IF(テーブル14[[#This Row],[keywords / 変更]]="",テーブル14[[#This Row],[keywords]],テーブル14[[#This Row],[keywords / 変更]]))</f>
        <v>[ "fx-mail", "ｆｘ－ｍａｉｌ" ]</v>
      </c>
      <c r="V108" s="22" t="str">
        <f>IF(テーブル14[[#This Row],[変更種別]]="削除",
       "",
       IF(テーブル14[[#This Row],[comment]]="","",テーブル14[[#This Row],[comment]]))</f>
        <v/>
      </c>
      <c r="W108" s="22" t="str">
        <f>IF(テーブル14[[#This Row],[変更種別]]="削除",
       "",
       IF(テーブル14[[#This Row],[priority / 変更後]]="",テーブル14[[#This Row],[priority]],テーブル14[[#This Row],[priority / 変更後]]))</f>
        <v>1</v>
      </c>
      <c r="X10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https://itochucorp.sharepoint.com/sites/extra-tokgq/SitePages/news/FX-Mail関連.aspx
　後: https://itochucorp.sharepoint.com/sites/extra-tokgq/SitePages/FX-Mail関連.aspx
■ KEYWORDS
　前: [ "Fx-mail", "fx-mail", "FX-MAIL" ]
　後: [ "fx-mail", "ｆｘ－ｍａｉｌ" ]
</v>
      </c>
    </row>
    <row r="109" spans="1:24" ht="57" x14ac:dyDescent="0.25">
      <c r="A109" s="20" t="s">
        <v>773</v>
      </c>
      <c r="B109" s="20" t="s">
        <v>999</v>
      </c>
      <c r="C109" s="20" t="s">
        <v>105</v>
      </c>
      <c r="D109" s="20" t="s">
        <v>103</v>
      </c>
      <c r="E109" s="20" t="s">
        <v>104</v>
      </c>
      <c r="F109" s="20" t="s">
        <v>890</v>
      </c>
      <c r="G109" s="20"/>
      <c r="H109" s="20" t="s">
        <v>999</v>
      </c>
      <c r="I109" s="21" t="s">
        <v>975</v>
      </c>
      <c r="J109" s="21"/>
      <c r="K109" s="21"/>
      <c r="L109" s="21" t="s">
        <v>1187</v>
      </c>
      <c r="M109" s="21"/>
      <c r="N109" s="21" t="s">
        <v>1192</v>
      </c>
      <c r="O109" s="21"/>
      <c r="P109" s="22" t="str">
        <f>IF(_xlfn.CONCAT(テーブル14[[#This Row],[変更種別]:[keywords / 変更]])&lt;&gt;"","","*")</f>
        <v/>
      </c>
      <c r="Q109" s="22" t="str">
        <f>IF(テーブル14[[#This Row],[変更種別]]="削除","2",IF(テーブル14[[#This Row],[_ex2]]="","1",""))</f>
        <v>1</v>
      </c>
      <c r="R109" s="22" t="str">
        <f>IF(テーブル14[[#This Row],[変更種別]]="新規","",テーブル14[[#This Row],[id]])</f>
        <v>294935e0-5aa5-4f57-92c4-d97f24072058</v>
      </c>
      <c r="S109" s="22" t="str">
        <f>IF(テーブル14[[#This Row],[変更種別]]="削除",
       "",
       IF(テーブル14[[#This Row],[title / 変更]]="",テーブル14[[#This Row],[title]],テーブル14[[#This Row],[title / 変更]]))</f>
        <v>海外用WiFiルータ 「jetfi」 サービス概要</v>
      </c>
      <c r="T109" s="22" t="str">
        <f>IF(テーブル14[[#This Row],[変更種別]]="削除",
       "",
       IF(テーブル14[[#This Row],[url / 変更]]="",テーブル14[[#This Row],[url]],テーブル14[[#This Row],[url / 変更]]))</f>
        <v>https://itochucorp.sharepoint.com/sites/intra-tokgv-jetfi_wifi</v>
      </c>
      <c r="U109" s="22" t="str">
        <f>IF(テーブル14[[#This Row],[変更種別]]="削除",
       "",
       IF(テーブル14[[#This Row],[keywords / 変更]]="",テーブル14[[#This Row],[keywords]],テーブル14[[#This Row],[keywords / 変更]]))</f>
        <v>[ "wifi", "ｗｉｆｉ", "wi-fi", "ｗｉ－ｆｉ", "jetfi", "ｊｅｔｆｉ" ]</v>
      </c>
      <c r="V109" s="22" t="str">
        <f>IF(テーブル14[[#This Row],[変更種別]]="削除",
       "",
       IF(テーブル14[[#This Row],[comment]]="","",テーブル14[[#This Row],[comment]]))</f>
        <v/>
      </c>
      <c r="W109" s="22" t="str">
        <f>IF(テーブル14[[#This Row],[変更種別]]="削除",
       "",
       IF(テーブル14[[#This Row],[priority / 変更後]]="",テーブル14[[#This Row],[priority]],テーブル14[[#This Row],[priority / 変更後]]))</f>
        <v>3</v>
      </c>
      <c r="X10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"wifi", "jetfi" ]
　後: [ "wifi", "ｗｉｆｉ", "wi-fi", "ｗｉ－ｆｉ", "jetfi", "ｊｅｔｆｉ" ]
</v>
      </c>
    </row>
    <row r="110" spans="1:24" ht="99.75" x14ac:dyDescent="0.25">
      <c r="A110" s="20" t="s">
        <v>773</v>
      </c>
      <c r="B110" s="20" t="s">
        <v>999</v>
      </c>
      <c r="C110" s="20" t="s">
        <v>144</v>
      </c>
      <c r="D110" s="20" t="s">
        <v>143</v>
      </c>
      <c r="E110" s="20" t="s">
        <v>891</v>
      </c>
      <c r="F110" s="20" t="s">
        <v>892</v>
      </c>
      <c r="G110" s="20"/>
      <c r="H110" s="20" t="s">
        <v>999</v>
      </c>
      <c r="I110" s="21" t="s">
        <v>975</v>
      </c>
      <c r="J110" s="21"/>
      <c r="K110" s="21" t="s">
        <v>733</v>
      </c>
      <c r="L110" s="21" t="s">
        <v>1053</v>
      </c>
      <c r="M110" s="21"/>
      <c r="N110" s="21" t="s">
        <v>1189</v>
      </c>
      <c r="O110" s="21"/>
      <c r="P110" s="22" t="str">
        <f>IF(_xlfn.CONCAT(テーブル14[[#This Row],[変更種別]:[keywords / 変更]])&lt;&gt;"","","*")</f>
        <v/>
      </c>
      <c r="Q110" s="22" t="str">
        <f>IF(テーブル14[[#This Row],[変更種別]]="削除","2",IF(テーブル14[[#This Row],[_ex2]]="","1",""))</f>
        <v>1</v>
      </c>
      <c r="R110" s="22" t="str">
        <f>IF(テーブル14[[#This Row],[変更種別]]="新規","",テーブル14[[#This Row],[id]])</f>
        <v>40b644fe-55e2-44ee-86fa-c27af850956a</v>
      </c>
      <c r="S110" s="22" t="str">
        <f>IF(テーブル14[[#This Row],[変更種別]]="削除",
       "",
       IF(テーブル14[[#This Row],[title / 変更]]="",テーブル14[[#This Row],[title]],テーブル14[[#This Row],[title / 変更]]))</f>
        <v>RPA 関連ページ</v>
      </c>
      <c r="T110" s="22" t="str">
        <f>IF(テーブル14[[#This Row],[変更種別]]="削除",
       "",
       IF(テーブル14[[#This Row],[url / 変更]]="",テーブル14[[#This Row],[url]],テーブル14[[#This Row],[url / 変更]]))</f>
        <v>https://itochucorp.sharepoint.com/sites/intra-tokgv-kaizen</v>
      </c>
      <c r="U110" s="22" t="str">
        <f>IF(テーブル14[[#This Row],[変更種別]]="削除",
       "",
       IF(テーブル14[[#This Row],[keywords / 変更]]="",テーブル14[[#This Row],[keywords]],テーブル14[[#This Row],[keywords / 変更]]))</f>
        <v>[ "rpa", "ｒｐａ", "ロボット" ]</v>
      </c>
      <c r="V110" s="22" t="str">
        <f>IF(テーブル14[[#This Row],[変更種別]]="削除",
       "",
       IF(テーブル14[[#This Row],[comment]]="","",テーブル14[[#This Row],[comment]]))</f>
        <v/>
      </c>
      <c r="W110" s="22" t="str">
        <f>IF(テーブル14[[#This Row],[変更種別]]="削除",
       "",
       IF(テーブル14[[#This Row],[priority / 変更後]]="",テーブル14[[#This Row],[priority]],テーブル14[[#This Row],[priority / 変更後]]))</f>
        <v>1</v>
      </c>
      <c r="X11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https://itochucorp.sharepoint.com/sites/intra-tokgv-rpa_ocr/SitePages/index.aspx
　後: https://itochucorp.sharepoint.com/sites/intra-tokgv-kaizen
■ KEYWORDS
　前: [ "RPA", "ロボット" ]
　後: [ "rpa", "ｒｐａ", "ロボット" ]
</v>
      </c>
    </row>
    <row r="111" spans="1:24" ht="57" x14ac:dyDescent="0.25">
      <c r="A111" s="20" t="s">
        <v>773</v>
      </c>
      <c r="B111" s="20" t="s">
        <v>999</v>
      </c>
      <c r="C111" s="20" t="s">
        <v>217</v>
      </c>
      <c r="D111" s="20" t="s">
        <v>215</v>
      </c>
      <c r="E111" s="20" t="s">
        <v>216</v>
      </c>
      <c r="F111" s="20" t="s">
        <v>893</v>
      </c>
      <c r="G111" s="20"/>
      <c r="H111" s="20" t="s">
        <v>999</v>
      </c>
      <c r="I111" s="21" t="s">
        <v>975</v>
      </c>
      <c r="J111" s="21"/>
      <c r="K111" s="21" t="s">
        <v>1054</v>
      </c>
      <c r="L111" s="21"/>
      <c r="M111" s="21"/>
      <c r="N111" s="21" t="s">
        <v>1191</v>
      </c>
      <c r="O111" s="21"/>
      <c r="P111" s="22" t="str">
        <f>IF(_xlfn.CONCAT(テーブル14[[#This Row],[変更種別]:[keywords / 変更]])&lt;&gt;"","","*")</f>
        <v/>
      </c>
      <c r="Q111" s="22" t="str">
        <f>IF(テーブル14[[#This Row],[変更種別]]="削除","2",IF(テーブル14[[#This Row],[_ex2]]="","1",""))</f>
        <v>1</v>
      </c>
      <c r="R111" s="22" t="str">
        <f>IF(テーブル14[[#This Row],[変更種別]]="新規","",テーブル14[[#This Row],[id]])</f>
        <v>27f2a0f1-f07b-4d22-a284-52dd4c06ab0a</v>
      </c>
      <c r="S111" s="22" t="str">
        <f>IF(テーブル14[[#This Row],[変更種別]]="削除",
       "",
       IF(テーブル14[[#This Row],[title / 変更]]="",テーブル14[[#This Row],[title]],テーブル14[[#This Row],[title / 変更]]))</f>
        <v>メーリングリスト作成・削除/管理者変更について</v>
      </c>
      <c r="T111" s="22" t="str">
        <f>IF(テーブル14[[#This Row],[変更種別]]="削除",
       "",
       IF(テーブル14[[#This Row],[url / 変更]]="",テーブル14[[#This Row],[url]],テーブル14[[#This Row],[url / 変更]]))</f>
        <v>https://itochucorp.sharepoint.com/sites/intra-tokgv-mail/SitePages/mail_win10_shinsei.aspx#｜メーリングリスト作成・削除-管理者変更申請</v>
      </c>
      <c r="U111" s="22" t="str">
        <f>IF(テーブル14[[#This Row],[変更種別]]="削除",
       "",
       IF(テーブル14[[#This Row],[keywords / 変更]]="",テーブル14[[#This Row],[keywords]],テーブル14[[#This Row],[keywords / 変更]]))</f>
        <v>[ "メーリングリスト", "メーリス", "サポツ" ]</v>
      </c>
      <c r="V111" s="22" t="str">
        <f>IF(テーブル14[[#This Row],[変更種別]]="削除",
       "",
       IF(テーブル14[[#This Row],[comment]]="","",テーブル14[[#This Row],[comment]]))</f>
        <v/>
      </c>
      <c r="W111" s="22" t="str">
        <f>IF(テーブル14[[#This Row],[変更種別]]="削除",
       "",
       IF(テーブル14[[#This Row],[priority / 変更後]]="",テーブル14[[#This Row],[priority]],テーブル14[[#This Row],[priority / 変更後]]))</f>
        <v>2</v>
      </c>
      <c r="X11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https://itochucorp.sharepoint.com/sites/intra-tokgv/system/SitePages/mail_win10_shinsei.aspx#03
　後: https://itochucorp.sharepoint.com/sites/intra-tokgv-mail/SitePages/mail_win10_shinsei.aspx#｜メーリングリスト作成・削除-管理者変更申請
</v>
      </c>
    </row>
    <row r="112" spans="1:24" x14ac:dyDescent="0.25">
      <c r="A112" s="20" t="s">
        <v>773</v>
      </c>
      <c r="B112" s="20" t="s">
        <v>999</v>
      </c>
      <c r="C112" s="20" t="s">
        <v>220</v>
      </c>
      <c r="D112" s="20" t="s">
        <v>218</v>
      </c>
      <c r="E112" s="20" t="s">
        <v>219</v>
      </c>
      <c r="F112" s="20" t="s">
        <v>893</v>
      </c>
      <c r="G112" s="20"/>
      <c r="H112" s="20" t="s">
        <v>999</v>
      </c>
      <c r="I112" s="21"/>
      <c r="J112" s="21"/>
      <c r="K112" s="21"/>
      <c r="L112" s="21"/>
      <c r="M112" s="21"/>
      <c r="N112" s="21" t="s">
        <v>1189</v>
      </c>
      <c r="O112" s="21"/>
      <c r="P112" s="22" t="str">
        <f>IF(_xlfn.CONCAT(テーブル14[[#This Row],[変更種別]:[keywords / 変更]])&lt;&gt;"","","*")</f>
        <v>*</v>
      </c>
      <c r="Q112" s="22" t="str">
        <f>IF(テーブル14[[#This Row],[変更種別]]="削除","2",IF(テーブル14[[#This Row],[_ex2]]="","1",""))</f>
        <v/>
      </c>
      <c r="R112" s="22" t="str">
        <f>IF(テーブル14[[#This Row],[変更種別]]="新規","",テーブル14[[#This Row],[id]])</f>
        <v>60119adf-9102-4671-9b57-a50b83e03fd5</v>
      </c>
      <c r="S112" s="22" t="str">
        <f>IF(テーブル14[[#This Row],[変更種別]]="削除",
       "",
       IF(テーブル14[[#This Row],[title / 変更]]="",テーブル14[[#This Row],[title]],テーブル14[[#This Row],[title / 変更]]))</f>
        <v>メールサポートツール ログイン</v>
      </c>
      <c r="T112" s="22" t="str">
        <f>IF(テーブル14[[#This Row],[変更種別]]="削除",
       "",
       IF(テーブル14[[#This Row],[url / 変更]]="",テーブル14[[#This Row],[url]],テーブル14[[#This Row],[url / 変更]]))</f>
        <v>https://mst.itochu.co.jp/MSS/login.aspx</v>
      </c>
      <c r="U112" s="22" t="str">
        <f>IF(テーブル14[[#This Row],[変更種別]]="削除",
       "",
       IF(テーブル14[[#This Row],[keywords / 変更]]="",テーブル14[[#This Row],[keywords]],テーブル14[[#This Row],[keywords / 変更]]))</f>
        <v>[ "メーリングリスト", "メーリス", "サポツ" ]</v>
      </c>
      <c r="V112" s="22" t="str">
        <f>IF(テーブル14[[#This Row],[変更種別]]="削除",
       "",
       IF(テーブル14[[#This Row],[comment]]="","",テーブル14[[#This Row],[comment]]))</f>
        <v/>
      </c>
      <c r="W112" s="22" t="str">
        <f>IF(テーブル14[[#This Row],[変更種別]]="削除",
       "",
       IF(テーブル14[[#This Row],[priority / 変更後]]="",テーブル14[[#This Row],[priority]],テーブル14[[#This Row],[priority / 変更後]]))</f>
        <v>1</v>
      </c>
      <c r="X11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13" spans="1:24" x14ac:dyDescent="0.25">
      <c r="A113" s="20" t="s">
        <v>773</v>
      </c>
      <c r="B113" s="20" t="s">
        <v>999</v>
      </c>
      <c r="C113" s="20" t="s">
        <v>507</v>
      </c>
      <c r="D113" s="20" t="s">
        <v>321</v>
      </c>
      <c r="E113" s="20" t="s">
        <v>322</v>
      </c>
      <c r="F113" s="20" t="s">
        <v>894</v>
      </c>
      <c r="G113" s="20"/>
      <c r="H113" s="20" t="s">
        <v>999</v>
      </c>
      <c r="I113" s="21" t="s">
        <v>1002</v>
      </c>
      <c r="J113" s="21"/>
      <c r="K113" s="21"/>
      <c r="L113" s="21"/>
      <c r="M113" s="21"/>
      <c r="N113" s="21"/>
      <c r="O113" s="21" t="s">
        <v>1055</v>
      </c>
      <c r="P113" s="22" t="str">
        <f>IF(_xlfn.CONCAT(テーブル14[[#This Row],[変更種別]:[keywords / 変更]])&lt;&gt;"","","*")</f>
        <v/>
      </c>
      <c r="Q113" s="22" t="str">
        <f>IF(テーブル14[[#This Row],[変更種別]]="削除","2",IF(テーブル14[[#This Row],[_ex2]]="","1",""))</f>
        <v>2</v>
      </c>
      <c r="R113" s="22" t="str">
        <f>IF(テーブル14[[#This Row],[変更種別]]="新規","",テーブル14[[#This Row],[id]])</f>
        <v>05de0f11-3b20-4fe9-8558-6e89c9c7c1b5</v>
      </c>
      <c r="S113" s="22" t="str">
        <f>IF(テーブル14[[#This Row],[変更種別]]="削除",
       "",
       IF(テーブル14[[#This Row],[title / 変更]]="",テーブル14[[#This Row],[title]],テーブル14[[#This Row],[title / 変更]]))</f>
        <v/>
      </c>
      <c r="T113" s="22" t="str">
        <f>IF(テーブル14[[#This Row],[変更種別]]="削除",
       "",
       IF(テーブル14[[#This Row],[url / 変更]]="",テーブル14[[#This Row],[url]],テーブル14[[#This Row],[url / 変更]]))</f>
        <v/>
      </c>
      <c r="U113" s="22" t="str">
        <f>IF(テーブル14[[#This Row],[変更種別]]="削除",
       "",
       IF(テーブル14[[#This Row],[keywords / 変更]]="",テーブル14[[#This Row],[keywords]],テーブル14[[#This Row],[keywords / 変更]]))</f>
        <v/>
      </c>
      <c r="V113" s="22" t="str">
        <f>IF(テーブル14[[#This Row],[変更種別]]="削除",
       "",
       IF(テーブル14[[#This Row],[comment]]="","",テーブル14[[#This Row],[comment]]))</f>
        <v/>
      </c>
      <c r="W113" s="22" t="str">
        <f>IF(テーブル14[[#This Row],[変更種別]]="削除",
       "",
       IF(テーブル14[[#This Row],[priority / 変更後]]="",テーブル14[[#This Row],[priority]],テーブル14[[#This Row],[priority / 変更後]]))</f>
        <v/>
      </c>
      <c r="X11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14" spans="1:24" x14ac:dyDescent="0.25">
      <c r="A114" s="20" t="s">
        <v>773</v>
      </c>
      <c r="B114" s="20" t="s">
        <v>999</v>
      </c>
      <c r="C114" s="20" t="s">
        <v>506</v>
      </c>
      <c r="D114" s="20" t="s">
        <v>504</v>
      </c>
      <c r="E114" s="20" t="s">
        <v>505</v>
      </c>
      <c r="F114" s="20" t="s">
        <v>894</v>
      </c>
      <c r="G114" s="20"/>
      <c r="H114" s="20" t="s">
        <v>999</v>
      </c>
      <c r="I114" s="21" t="s">
        <v>1181</v>
      </c>
      <c r="J114" s="21"/>
      <c r="K114" s="21"/>
      <c r="L114" s="21"/>
      <c r="M114" s="21"/>
      <c r="N114" s="21" t="s">
        <v>1191</v>
      </c>
      <c r="O114" s="21" t="s">
        <v>1193</v>
      </c>
      <c r="P114" s="22" t="str">
        <f>IF(_xlfn.CONCAT(テーブル14[[#This Row],[変更種別]:[keywords / 変更]])&lt;&gt;"","","*")</f>
        <v/>
      </c>
      <c r="Q114" s="22" t="str">
        <f>IF(テーブル14[[#This Row],[変更種別]]="削除","2",IF(テーブル14[[#This Row],[_ex2]]="","1",""))</f>
        <v>1</v>
      </c>
      <c r="R114" s="22" t="str">
        <f>IF(テーブル14[[#This Row],[変更種別]]="新規","",テーブル14[[#This Row],[id]])</f>
        <v>194ad704-357b-4e93-ae10-0640f5fa6153</v>
      </c>
      <c r="S114" s="22" t="str">
        <f>IF(テーブル14[[#This Row],[変更種別]]="削除",
       "",
       IF(テーブル14[[#This Row],[title / 変更]]="",テーブル14[[#This Row],[title]],テーブル14[[#This Row],[title / 変更]]))</f>
        <v>人事月報（過去掲載文）</v>
      </c>
      <c r="T114" s="22" t="str">
        <f>IF(テーブル14[[#This Row],[変更種別]]="削除",
       "",
       IF(テーブル14[[#This Row],[url / 変更]]="",テーブル14[[#This Row],[url]],テーブル14[[#This Row],[url / 変更]]))</f>
        <v>https://itochucorp.sharepoint.com/sites/intra-tokpj_hr/DocLib003/Forms/AllItems.aspx</v>
      </c>
      <c r="U114" s="22" t="str">
        <f>IF(テーブル14[[#This Row],[変更種別]]="削除",
       "",
       IF(テーブル14[[#This Row],[keywords / 変更]]="",テーブル14[[#This Row],[keywords]],テーブル14[[#This Row],[keywords / 変更]]))</f>
        <v>[ "人事月報" ]</v>
      </c>
      <c r="V114" s="22" t="str">
        <f>IF(テーブル14[[#This Row],[変更種別]]="削除",
       "",
       IF(テーブル14[[#This Row],[comment]]="","",テーブル14[[#This Row],[comment]]))</f>
        <v/>
      </c>
      <c r="W114" s="22" t="str">
        <f>IF(テーブル14[[#This Row],[変更種別]]="削除",
       "",
       IF(テーブル14[[#This Row],[priority / 変更後]]="",テーブル14[[#This Row],[priority]],テーブル14[[#This Row],[priority / 変更後]]))</f>
        <v>2</v>
      </c>
      <c r="X11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15" spans="1:24" x14ac:dyDescent="0.25">
      <c r="A115" s="20" t="s">
        <v>773</v>
      </c>
      <c r="B115" s="20" t="s">
        <v>999</v>
      </c>
      <c r="C115" s="20" t="s">
        <v>525</v>
      </c>
      <c r="D115" s="20" t="s">
        <v>523</v>
      </c>
      <c r="E115" s="20" t="s">
        <v>524</v>
      </c>
      <c r="F115" s="20" t="s">
        <v>895</v>
      </c>
      <c r="G115" s="20"/>
      <c r="H115" s="20" t="s">
        <v>999</v>
      </c>
      <c r="I115" s="21"/>
      <c r="J115" s="21"/>
      <c r="K115" s="21"/>
      <c r="L115" s="21"/>
      <c r="M115" s="21"/>
      <c r="N115" s="21" t="s">
        <v>1189</v>
      </c>
      <c r="O115" s="21"/>
      <c r="P115" s="22" t="str">
        <f>IF(_xlfn.CONCAT(テーブル14[[#This Row],[変更種別]:[keywords / 変更]])&lt;&gt;"","","*")</f>
        <v>*</v>
      </c>
      <c r="Q115" s="22" t="str">
        <f>IF(テーブル14[[#This Row],[変更種別]]="削除","2",IF(テーブル14[[#This Row],[_ex2]]="","1",""))</f>
        <v/>
      </c>
      <c r="R115" s="22" t="str">
        <f>IF(テーブル14[[#This Row],[変更種別]]="新規","",テーブル14[[#This Row],[id]])</f>
        <v>d9e4ed5f-5608-4adc-81e8-0ef920663910</v>
      </c>
      <c r="S115" s="22" t="str">
        <f>IF(テーブル14[[#This Row],[変更種別]]="削除",
       "",
       IF(テーブル14[[#This Row],[title / 変更]]="",テーブル14[[#This Row],[title]],テーブル14[[#This Row],[title / 変更]]))</f>
        <v>組織単位一覧</v>
      </c>
      <c r="T115" s="22" t="str">
        <f>IF(テーブル14[[#This Row],[変更種別]]="削除",
       "",
       IF(テーブル14[[#This Row],[url / 変更]]="",テーブル14[[#This Row],[url]],テーブル14[[#This Row],[url / 変更]]))</f>
        <v>https://itochucorp.sharepoint.com/sites/extra-tokgnlevelD/DocLib001/Forms/AllItems.aspx</v>
      </c>
      <c r="U115" s="22" t="str">
        <f>IF(テーブル14[[#This Row],[変更種別]]="削除",
       "",
       IF(テーブル14[[#This Row],[keywords / 変更]]="",テーブル14[[#This Row],[keywords]],テーブル14[[#This Row],[keywords / 変更]]))</f>
        <v>[ "組織図", "組織単位", "組織単位一覧", "組織一覧" ]</v>
      </c>
      <c r="V115" s="22" t="str">
        <f>IF(テーブル14[[#This Row],[変更種別]]="削除",
       "",
       IF(テーブル14[[#This Row],[comment]]="","",テーブル14[[#This Row],[comment]]))</f>
        <v/>
      </c>
      <c r="W115" s="22" t="str">
        <f>IF(テーブル14[[#This Row],[変更種別]]="削除",
       "",
       IF(テーブル14[[#This Row],[priority / 変更後]]="",テーブル14[[#This Row],[priority]],テーブル14[[#This Row],[priority / 変更後]]))</f>
        <v>1</v>
      </c>
      <c r="X11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16" spans="1:24" x14ac:dyDescent="0.25">
      <c r="A116" s="20" t="s">
        <v>773</v>
      </c>
      <c r="B116" s="20" t="s">
        <v>999</v>
      </c>
      <c r="C116" s="20" t="s">
        <v>385</v>
      </c>
      <c r="D116" s="20" t="s">
        <v>383</v>
      </c>
      <c r="E116" s="20" t="s">
        <v>384</v>
      </c>
      <c r="F116" s="20" t="s">
        <v>896</v>
      </c>
      <c r="G116" s="20"/>
      <c r="H116" s="20" t="s">
        <v>999</v>
      </c>
      <c r="I116" s="21"/>
      <c r="J116" s="21"/>
      <c r="K116" s="21"/>
      <c r="L116" s="21"/>
      <c r="M116" s="21"/>
      <c r="N116" s="21" t="s">
        <v>1189</v>
      </c>
      <c r="O116" s="21"/>
      <c r="P116" s="22" t="str">
        <f>IF(_xlfn.CONCAT(テーブル14[[#This Row],[変更種別]:[keywords / 変更]])&lt;&gt;"","","*")</f>
        <v>*</v>
      </c>
      <c r="Q116" s="22" t="str">
        <f>IF(テーブル14[[#This Row],[変更種別]]="削除","2",IF(テーブル14[[#This Row],[_ex2]]="","1",""))</f>
        <v/>
      </c>
      <c r="R116" s="22" t="str">
        <f>IF(テーブル14[[#This Row],[変更種別]]="新規","",テーブル14[[#This Row],[id]])</f>
        <v>663807ba-91b9-4f35-bb4c-f32477df6086</v>
      </c>
      <c r="S116" s="22" t="str">
        <f>IF(テーブル14[[#This Row],[変更種別]]="削除",
       "",
       IF(テーブル14[[#This Row],[title / 変更]]="",テーブル14[[#This Row],[title]],テーブル14[[#This Row],[title / 変更]]))</f>
        <v>健康管理室 サイト</v>
      </c>
      <c r="T116" s="22" t="str">
        <f>IF(テーブル14[[#This Row],[変更種別]]="削除",
       "",
       IF(テーブル14[[#This Row],[url / 変更]]="",テーブル14[[#This Row],[url]],テーブル14[[#This Row],[url / 変更]]))</f>
        <v>https://itochucorp.sharepoint.com/sites/intra-tokpj_hr-tokhz/SitePages/TopPage.aspx</v>
      </c>
      <c r="U116" s="22" t="str">
        <f>IF(テーブル14[[#This Row],[変更種別]]="削除",
       "",
       IF(テーブル14[[#This Row],[keywords / 変更]]="",テーブル14[[#This Row],[keywords]],テーブル14[[#This Row],[keywords / 変更]]))</f>
        <v>[ "健康管理室" ]</v>
      </c>
      <c r="V116" s="22" t="str">
        <f>IF(テーブル14[[#This Row],[変更種別]]="削除",
       "",
       IF(テーブル14[[#This Row],[comment]]="","",テーブル14[[#This Row],[comment]]))</f>
        <v/>
      </c>
      <c r="W116" s="22" t="str">
        <f>IF(テーブル14[[#This Row],[変更種別]]="削除",
       "",
       IF(テーブル14[[#This Row],[priority / 変更後]]="",テーブル14[[#This Row],[priority]],テーブル14[[#This Row],[priority / 変更後]]))</f>
        <v>1</v>
      </c>
      <c r="X11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17" spans="1:24" x14ac:dyDescent="0.25">
      <c r="A117" s="20" t="s">
        <v>773</v>
      </c>
      <c r="B117" s="20" t="s">
        <v>999</v>
      </c>
      <c r="C117" s="20" t="s">
        <v>446</v>
      </c>
      <c r="D117" s="20" t="s">
        <v>444</v>
      </c>
      <c r="E117" s="20" t="s">
        <v>445</v>
      </c>
      <c r="F117" s="20" t="s">
        <v>897</v>
      </c>
      <c r="G117" s="20"/>
      <c r="H117" s="20" t="s">
        <v>999</v>
      </c>
      <c r="I117" s="21"/>
      <c r="J117" s="21"/>
      <c r="K117" s="21"/>
      <c r="L117" s="21"/>
      <c r="M117" s="21"/>
      <c r="N117" s="21" t="s">
        <v>1189</v>
      </c>
      <c r="O117" s="21"/>
      <c r="P117" s="22" t="str">
        <f>IF(_xlfn.CONCAT(テーブル14[[#This Row],[変更種別]:[keywords / 変更]])&lt;&gt;"","","*")</f>
        <v>*</v>
      </c>
      <c r="Q117" s="22" t="str">
        <f>IF(テーブル14[[#This Row],[変更種別]]="削除","2",IF(テーブル14[[#This Row],[_ex2]]="","1",""))</f>
        <v/>
      </c>
      <c r="R117" s="22" t="str">
        <f>IF(テーブル14[[#This Row],[変更種別]]="新規","",テーブル14[[#This Row],[id]])</f>
        <v>973a2ed3-8e95-4b3d-9248-33885ad97fc6</v>
      </c>
      <c r="S117" s="22" t="str">
        <f>IF(テーブル14[[#This Row],[変更種別]]="削除",
       "",
       IF(テーブル14[[#This Row],[title / 変更]]="",テーブル14[[#This Row],[title]],テーブル14[[#This Row],[title / 変更]]))</f>
        <v>社外情報リンク サイト</v>
      </c>
      <c r="T117" s="22" t="str">
        <f>IF(テーブル14[[#This Row],[変更種別]]="削除",
       "",
       IF(テーブル14[[#This Row],[url / 変更]]="",テーブル14[[#This Row],[url]],テーブル14[[#This Row],[url / 変更]]))</f>
        <v>https://itochucorp.sharepoint.com/sites/intra-info/Lists/List001/AllItems.aspx</v>
      </c>
      <c r="U117" s="22" t="str">
        <f>IF(テーブル14[[#This Row],[変更種別]]="削除",
       "",
       IF(テーブル14[[#This Row],[keywords / 変更]]="",テーブル14[[#This Row],[keywords]],テーブル14[[#This Row],[keywords / 変更]]))</f>
        <v>[ "社外情報リンク" ]</v>
      </c>
      <c r="V117" s="22" t="str">
        <f>IF(テーブル14[[#This Row],[変更種別]]="削除",
       "",
       IF(テーブル14[[#This Row],[comment]]="","",テーブル14[[#This Row],[comment]]))</f>
        <v/>
      </c>
      <c r="W117" s="22" t="str">
        <f>IF(テーブル14[[#This Row],[変更種別]]="削除",
       "",
       IF(テーブル14[[#This Row],[priority / 変更後]]="",テーブル14[[#This Row],[priority]],テーブル14[[#This Row],[priority / 変更後]]))</f>
        <v>1</v>
      </c>
      <c r="X11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18" spans="1:24" x14ac:dyDescent="0.25">
      <c r="A118" s="20" t="s">
        <v>773</v>
      </c>
      <c r="B118" s="20" t="s">
        <v>999</v>
      </c>
      <c r="C118" s="20" t="s">
        <v>667</v>
      </c>
      <c r="D118" s="20" t="s">
        <v>19</v>
      </c>
      <c r="E118" s="20" t="s">
        <v>1056</v>
      </c>
      <c r="F118" s="20" t="s">
        <v>898</v>
      </c>
      <c r="G118" s="20"/>
      <c r="H118" s="20" t="s">
        <v>999</v>
      </c>
      <c r="I118" s="21" t="s">
        <v>1002</v>
      </c>
      <c r="J118" s="21"/>
      <c r="K118" s="21"/>
      <c r="L118" s="21"/>
      <c r="M118" s="21"/>
      <c r="N118" s="21"/>
      <c r="O118" s="21" t="s">
        <v>1057</v>
      </c>
      <c r="P118" s="22" t="str">
        <f>IF(_xlfn.CONCAT(テーブル14[[#This Row],[変更種別]:[keywords / 変更]])&lt;&gt;"","","*")</f>
        <v/>
      </c>
      <c r="Q118" s="22" t="str">
        <f>IF(テーブル14[[#This Row],[変更種別]]="削除","2",IF(テーブル14[[#This Row],[_ex2]]="","1",""))</f>
        <v>2</v>
      </c>
      <c r="R118" s="22" t="str">
        <f>IF(テーブル14[[#This Row],[変更種別]]="新規","",テーブル14[[#This Row],[id]])</f>
        <v>69356f04-ddbd-48a6-a7af-71103ce5b3ed</v>
      </c>
      <c r="S118" s="22" t="str">
        <f>IF(テーブル14[[#This Row],[変更種別]]="削除",
       "",
       IF(テーブル14[[#This Row],[title / 変更]]="",テーブル14[[#This Row],[title]],テーブル14[[#This Row],[title / 変更]]))</f>
        <v/>
      </c>
      <c r="T118" s="22" t="str">
        <f>IF(テーブル14[[#This Row],[変更種別]]="削除",
       "",
       IF(テーブル14[[#This Row],[url / 変更]]="",テーブル14[[#This Row],[url]],テーブル14[[#This Row],[url / 変更]]))</f>
        <v/>
      </c>
      <c r="U118" s="22" t="str">
        <f>IF(テーブル14[[#This Row],[変更種別]]="削除",
       "",
       IF(テーブル14[[#This Row],[keywords / 変更]]="",テーブル14[[#This Row],[keywords]],テーブル14[[#This Row],[keywords / 変更]]))</f>
        <v/>
      </c>
      <c r="V118" s="22" t="str">
        <f>IF(テーブル14[[#This Row],[変更種別]]="削除",
       "",
       IF(テーブル14[[#This Row],[comment]]="","",テーブル14[[#This Row],[comment]]))</f>
        <v/>
      </c>
      <c r="W118" s="22" t="str">
        <f>IF(テーブル14[[#This Row],[変更種別]]="削除",
       "",
       IF(テーブル14[[#This Row],[priority / 変更後]]="",テーブル14[[#This Row],[priority]],テーブル14[[#This Row],[priority / 変更後]]))</f>
        <v/>
      </c>
      <c r="X11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19" spans="1:24" x14ac:dyDescent="0.25">
      <c r="A119" s="20" t="s">
        <v>773</v>
      </c>
      <c r="B119" s="20" t="s">
        <v>999</v>
      </c>
      <c r="C119" s="20" t="s">
        <v>580</v>
      </c>
      <c r="D119" s="20" t="s">
        <v>578</v>
      </c>
      <c r="E119" s="20" t="s">
        <v>579</v>
      </c>
      <c r="F119" s="20" t="s">
        <v>899</v>
      </c>
      <c r="G119" s="20"/>
      <c r="H119" s="20" t="s">
        <v>999</v>
      </c>
      <c r="I119" s="21"/>
      <c r="J119" s="21"/>
      <c r="K119" s="21"/>
      <c r="L119" s="21"/>
      <c r="M119" s="21"/>
      <c r="N119" s="21" t="s">
        <v>1189</v>
      </c>
      <c r="O119" s="21"/>
      <c r="P119" s="22" t="str">
        <f>IF(_xlfn.CONCAT(テーブル14[[#This Row],[変更種別]:[keywords / 変更]])&lt;&gt;"","","*")</f>
        <v>*</v>
      </c>
      <c r="Q119" s="22" t="str">
        <f>IF(テーブル14[[#This Row],[変更種別]]="削除","2",IF(テーブル14[[#This Row],[_ex2]]="","1",""))</f>
        <v/>
      </c>
      <c r="R119" s="22" t="str">
        <f>IF(テーブル14[[#This Row],[変更種別]]="新規","",テーブル14[[#This Row],[id]])</f>
        <v>05185f77-bcca-4f1e-9406-e36a48e5ff78</v>
      </c>
      <c r="S119" s="22" t="str">
        <f>IF(テーブル14[[#This Row],[変更種別]]="削除",
       "",
       IF(テーブル14[[#This Row],[title / 変更]]="",テーブル14[[#This Row],[title]],テーブル14[[#This Row],[title / 変更]]))</f>
        <v>内部統制 サイト</v>
      </c>
      <c r="T119" s="22" t="str">
        <f>IF(テーブル14[[#This Row],[変更種別]]="削除",
       "",
       IF(テーブル14[[#This Row],[url / 変更]]="",テーブル14[[#This Row],[url]],テーブル14[[#This Row],[url / 変更]]))</f>
        <v>https://itochucorp.sharepoint.com/sites/intra-tokgk-toknh/SitePages/TopPage.aspx</v>
      </c>
      <c r="U119" s="22" t="str">
        <f>IF(テーブル14[[#This Row],[変更種別]]="削除",
       "",
       IF(テーブル14[[#This Row],[keywords / 変更]]="",テーブル14[[#This Row],[keywords]],テーブル14[[#This Row],[keywords / 変更]]))</f>
        <v>[ "内部統制" ]</v>
      </c>
      <c r="V119" s="22" t="str">
        <f>IF(テーブル14[[#This Row],[変更種別]]="削除",
       "",
       IF(テーブル14[[#This Row],[comment]]="","",テーブル14[[#This Row],[comment]]))</f>
        <v/>
      </c>
      <c r="W119" s="22" t="str">
        <f>IF(テーブル14[[#This Row],[変更種別]]="削除",
       "",
       IF(テーブル14[[#This Row],[priority / 変更後]]="",テーブル14[[#This Row],[priority]],テーブル14[[#This Row],[priority / 変更後]]))</f>
        <v>1</v>
      </c>
      <c r="X11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20" spans="1:24" x14ac:dyDescent="0.25">
      <c r="A120" s="20" t="s">
        <v>773</v>
      </c>
      <c r="B120" s="20" t="s">
        <v>999</v>
      </c>
      <c r="C120" s="20" t="s">
        <v>276</v>
      </c>
      <c r="D120" s="20" t="s">
        <v>274</v>
      </c>
      <c r="E120" s="20" t="s">
        <v>275</v>
      </c>
      <c r="F120" s="20" t="s">
        <v>900</v>
      </c>
      <c r="G120" s="20"/>
      <c r="H120" s="20" t="s">
        <v>999</v>
      </c>
      <c r="I120" s="21"/>
      <c r="J120" s="21"/>
      <c r="K120" s="21"/>
      <c r="L120" s="21"/>
      <c r="M120" s="21"/>
      <c r="N120" s="21" t="s">
        <v>1189</v>
      </c>
      <c r="O120" s="21"/>
      <c r="P120" s="22" t="str">
        <f>IF(_xlfn.CONCAT(テーブル14[[#This Row],[変更種別]:[keywords / 変更]])&lt;&gt;"","","*")</f>
        <v>*</v>
      </c>
      <c r="Q120" s="22" t="str">
        <f>IF(テーブル14[[#This Row],[変更種別]]="削除","2",IF(テーブル14[[#This Row],[_ex2]]="","1",""))</f>
        <v/>
      </c>
      <c r="R120" s="22" t="str">
        <f>IF(テーブル14[[#This Row],[変更種別]]="新規","",テーブル14[[#This Row],[id]])</f>
        <v>4e8684c6-9e51-489b-a2d1-1346578645ee</v>
      </c>
      <c r="S120" s="22" t="str">
        <f>IF(テーブル14[[#This Row],[変更種別]]="削除",
       "",
       IF(テーブル14[[#This Row],[title / 変更]]="",テーブル14[[#This Row],[title]],テーブル14[[#This Row],[title / 変更]]))</f>
        <v>メールサービス 問合せ先一覧</v>
      </c>
      <c r="T120" s="22" t="str">
        <f>IF(テーブル14[[#This Row],[変更種別]]="削除",
       "",
       IF(テーブル14[[#This Row],[url / 変更]]="",テーブル14[[#This Row],[url]],テーブル14[[#This Row],[url / 変更]]))</f>
        <v>https://itochucorp.sharepoint.com/sites/extra-office/SitePages/館内サービス.aspx#05</v>
      </c>
      <c r="U120" s="22" t="str">
        <f>IF(テーブル14[[#This Row],[変更種別]]="削除",
       "",
       IF(テーブル14[[#This Row],[keywords / 変更]]="",テーブル14[[#This Row],[keywords]],テーブル14[[#This Row],[keywords / 変更]]))</f>
        <v>[ "社内便", "メールセンター" ]</v>
      </c>
      <c r="V120" s="22" t="str">
        <f>IF(テーブル14[[#This Row],[変更種別]]="削除",
       "",
       IF(テーブル14[[#This Row],[comment]]="","",テーブル14[[#This Row],[comment]]))</f>
        <v/>
      </c>
      <c r="W120" s="22" t="str">
        <f>IF(テーブル14[[#This Row],[変更種別]]="削除",
       "",
       IF(テーブル14[[#This Row],[priority / 変更後]]="",テーブル14[[#This Row],[priority]],テーブル14[[#This Row],[priority / 変更後]]))</f>
        <v>1</v>
      </c>
      <c r="X12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21" spans="1:24" x14ac:dyDescent="0.25">
      <c r="A121" s="20" t="s">
        <v>773</v>
      </c>
      <c r="B121" s="20" t="s">
        <v>999</v>
      </c>
      <c r="C121" s="20" t="s">
        <v>573</v>
      </c>
      <c r="D121" s="20" t="s">
        <v>571</v>
      </c>
      <c r="E121" s="20" t="s">
        <v>572</v>
      </c>
      <c r="F121" s="20" t="s">
        <v>901</v>
      </c>
      <c r="G121" s="20"/>
      <c r="H121" s="20" t="s">
        <v>999</v>
      </c>
      <c r="I121" s="21"/>
      <c r="J121" s="21"/>
      <c r="K121" s="21"/>
      <c r="L121" s="21"/>
      <c r="M121" s="21"/>
      <c r="N121" s="21" t="s">
        <v>1189</v>
      </c>
      <c r="O121" s="21"/>
      <c r="P121" s="22" t="str">
        <f>IF(_xlfn.CONCAT(テーブル14[[#This Row],[変更種別]:[keywords / 変更]])&lt;&gt;"","","*")</f>
        <v>*</v>
      </c>
      <c r="Q121" s="22" t="str">
        <f>IF(テーブル14[[#This Row],[変更種別]]="削除","2",IF(テーブル14[[#This Row],[_ex2]]="","1",""))</f>
        <v/>
      </c>
      <c r="R121" s="22" t="str">
        <f>IF(テーブル14[[#This Row],[変更種別]]="新規","",テーブル14[[#This Row],[id]])</f>
        <v>0edbf786-1d90-47d3-9d28-8dd438b3981d</v>
      </c>
      <c r="S121" s="22" t="str">
        <f>IF(テーブル14[[#This Row],[変更種別]]="削除",
       "",
       IF(テーブル14[[#This Row],[title / 変更]]="",テーブル14[[#This Row],[title]],テーブル14[[#This Row],[title / 変更]]))</f>
        <v>統合会社コード体系について</v>
      </c>
      <c r="T121" s="22" t="str">
        <f>IF(テーブル14[[#This Row],[変更種別]]="削除",
       "",
       IF(テーブル14[[#This Row],[url / 変更]]="",テーブル14[[#This Row],[url]],テーブル14[[#This Row],[url / 変更]]))</f>
        <v>https://itochucorp.sharepoint.com/sites/intra-tokgv-MHANA/m21hana_/【統合会社マスタ】補足）統合会社コード体系.pdf</v>
      </c>
      <c r="U121" s="22" t="str">
        <f>IF(テーブル14[[#This Row],[変更種別]]="削除",
       "",
       IF(テーブル14[[#This Row],[keywords / 変更]]="",テーブル14[[#This Row],[keywords]],テーブル14[[#This Row],[keywords / 変更]]))</f>
        <v>[ "統合会社コード" ]</v>
      </c>
      <c r="V121" s="22" t="str">
        <f>IF(テーブル14[[#This Row],[変更種別]]="削除",
       "",
       IF(テーブル14[[#This Row],[comment]]="","",テーブル14[[#This Row],[comment]]))</f>
        <v/>
      </c>
      <c r="W121" s="22" t="str">
        <f>IF(テーブル14[[#This Row],[変更種別]]="削除",
       "",
       IF(テーブル14[[#This Row],[priority / 変更後]]="",テーブル14[[#This Row],[priority]],テーブル14[[#This Row],[priority / 変更後]]))</f>
        <v>1</v>
      </c>
      <c r="X12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22" spans="1:24" x14ac:dyDescent="0.25">
      <c r="A122" s="20" t="s">
        <v>773</v>
      </c>
      <c r="B122" s="20" t="s">
        <v>999</v>
      </c>
      <c r="C122" s="20" t="s">
        <v>574</v>
      </c>
      <c r="D122" s="20" t="s">
        <v>338</v>
      </c>
      <c r="E122" s="20" t="s">
        <v>339</v>
      </c>
      <c r="F122" s="20" t="s">
        <v>901</v>
      </c>
      <c r="G122" s="20"/>
      <c r="H122" s="20" t="s">
        <v>999</v>
      </c>
      <c r="I122" s="21" t="s">
        <v>1002</v>
      </c>
      <c r="J122" s="21"/>
      <c r="K122" s="21"/>
      <c r="L122" s="21"/>
      <c r="M122" s="21"/>
      <c r="N122" s="21"/>
      <c r="O122" s="21" t="s">
        <v>1058</v>
      </c>
      <c r="P122" s="22" t="str">
        <f>IF(_xlfn.CONCAT(テーブル14[[#This Row],[変更種別]:[keywords / 変更]])&lt;&gt;"","","*")</f>
        <v/>
      </c>
      <c r="Q122" s="22" t="str">
        <f>IF(テーブル14[[#This Row],[変更種別]]="削除","2",IF(テーブル14[[#This Row],[_ex2]]="","1",""))</f>
        <v>2</v>
      </c>
      <c r="R122" s="22" t="str">
        <f>IF(テーブル14[[#This Row],[変更種別]]="新規","",テーブル14[[#This Row],[id]])</f>
        <v>64fc3671-12f4-4d86-9eb8-3987ed37d7db</v>
      </c>
      <c r="S122" s="22" t="str">
        <f>IF(テーブル14[[#This Row],[変更種別]]="削除",
       "",
       IF(テーブル14[[#This Row],[title / 変更]]="",テーブル14[[#This Row],[title]],テーブル14[[#This Row],[title / 変更]]))</f>
        <v/>
      </c>
      <c r="T122" s="22" t="str">
        <f>IF(テーブル14[[#This Row],[変更種別]]="削除",
       "",
       IF(テーブル14[[#This Row],[url / 変更]]="",テーブル14[[#This Row],[url]],テーブル14[[#This Row],[url / 変更]]))</f>
        <v/>
      </c>
      <c r="U122" s="22" t="str">
        <f>IF(テーブル14[[#This Row],[変更種別]]="削除",
       "",
       IF(テーブル14[[#This Row],[keywords / 変更]]="",テーブル14[[#This Row],[keywords]],テーブル14[[#This Row],[keywords / 変更]]))</f>
        <v/>
      </c>
      <c r="V122" s="22" t="str">
        <f>IF(テーブル14[[#This Row],[変更種別]]="削除",
       "",
       IF(テーブル14[[#This Row],[comment]]="","",テーブル14[[#This Row],[comment]]))</f>
        <v/>
      </c>
      <c r="W122" s="22" t="str">
        <f>IF(テーブル14[[#This Row],[変更種別]]="削除",
       "",
       IF(テーブル14[[#This Row],[priority / 変更後]]="",テーブル14[[#This Row],[priority]],テーブル14[[#This Row],[priority / 変更後]]))</f>
        <v/>
      </c>
      <c r="X12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23" spans="1:24" x14ac:dyDescent="0.25">
      <c r="A123" s="20" t="s">
        <v>773</v>
      </c>
      <c r="B123" s="20" t="s">
        <v>999</v>
      </c>
      <c r="C123" s="20" t="s">
        <v>347</v>
      </c>
      <c r="D123" s="20" t="s">
        <v>345</v>
      </c>
      <c r="E123" s="20" t="s">
        <v>346</v>
      </c>
      <c r="F123" s="20" t="s">
        <v>902</v>
      </c>
      <c r="G123" s="20"/>
      <c r="H123" s="20" t="s">
        <v>999</v>
      </c>
      <c r="I123" s="21"/>
      <c r="J123" s="21"/>
      <c r="K123" s="21"/>
      <c r="L123" s="21"/>
      <c r="M123" s="21"/>
      <c r="N123" s="21" t="s">
        <v>1189</v>
      </c>
      <c r="O123" s="21"/>
      <c r="P123" s="22" t="str">
        <f>IF(_xlfn.CONCAT(テーブル14[[#This Row],[変更種別]:[keywords / 変更]])&lt;&gt;"","","*")</f>
        <v>*</v>
      </c>
      <c r="Q123" s="22" t="str">
        <f>IF(テーブル14[[#This Row],[変更種別]]="削除","2",IF(テーブル14[[#This Row],[_ex2]]="","1",""))</f>
        <v/>
      </c>
      <c r="R123" s="22" t="str">
        <f>IF(テーブル14[[#This Row],[変更種別]]="新規","",テーブル14[[#This Row],[id]])</f>
        <v>c97a36bd-47c7-4c96-83fa-eb068e9fb63a</v>
      </c>
      <c r="S123" s="22" t="str">
        <f>IF(テーブル14[[#This Row],[変更種別]]="削除",
       "",
       IF(テーブル14[[#This Row],[title / 変更]]="",テーブル14[[#This Row],[title]],テーブル14[[#This Row],[title / 変更]]))</f>
        <v>規程・規則・基準 サイト</v>
      </c>
      <c r="T123" s="22" t="str">
        <f>IF(テーブル14[[#This Row],[変更種別]]="削除",
       "",
       IF(テーブル14[[#This Row],[url / 変更]]="",テーブル14[[#This Row],[url]],テーブル14[[#This Row],[url / 変更]]))</f>
        <v>https://itochucorp.sharepoint.com/sites/intra-tokpj_hr/SitePages/kitei/規程・規則・基準.aspx</v>
      </c>
      <c r="U123" s="22" t="str">
        <f>IF(テーブル14[[#This Row],[変更種別]]="削除",
       "",
       IF(テーブル14[[#This Row],[keywords / 変更]]="",テーブル14[[#This Row],[keywords]],テーブル14[[#This Row],[keywords / 変更]]))</f>
        <v>[ "就業規則", "規程", "基準", "規約" ]</v>
      </c>
      <c r="V123" s="22" t="str">
        <f>IF(テーブル14[[#This Row],[変更種別]]="削除",
       "",
       IF(テーブル14[[#This Row],[comment]]="","",テーブル14[[#This Row],[comment]]))</f>
        <v/>
      </c>
      <c r="W123" s="22" t="str">
        <f>IF(テーブル14[[#This Row],[変更種別]]="削除",
       "",
       IF(テーブル14[[#This Row],[priority / 変更後]]="",テーブル14[[#This Row],[priority]],テーブル14[[#This Row],[priority / 変更後]]))</f>
        <v>1</v>
      </c>
      <c r="X12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24" spans="1:24" ht="57" x14ac:dyDescent="0.25">
      <c r="A124" s="20" t="s">
        <v>773</v>
      </c>
      <c r="B124" s="20" t="s">
        <v>999</v>
      </c>
      <c r="C124" s="20" t="s">
        <v>9</v>
      </c>
      <c r="D124" s="20" t="s">
        <v>7</v>
      </c>
      <c r="E124" s="20" t="s">
        <v>8</v>
      </c>
      <c r="F124" s="20" t="s">
        <v>903</v>
      </c>
      <c r="G124" s="20"/>
      <c r="H124" s="20" t="s">
        <v>999</v>
      </c>
      <c r="I124" s="21" t="s">
        <v>975</v>
      </c>
      <c r="J124" s="21"/>
      <c r="K124" s="21"/>
      <c r="L124" s="21" t="s">
        <v>1059</v>
      </c>
      <c r="M124" s="21"/>
      <c r="N124" s="21" t="s">
        <v>1189</v>
      </c>
      <c r="O124" s="21"/>
      <c r="P124" s="22" t="str">
        <f>IF(_xlfn.CONCAT(テーブル14[[#This Row],[変更種別]:[keywords / 変更]])&lt;&gt;"","","*")</f>
        <v/>
      </c>
      <c r="Q124" s="22" t="str">
        <f>IF(テーブル14[[#This Row],[変更種別]]="削除","2",IF(テーブル14[[#This Row],[_ex2]]="","1",""))</f>
        <v>1</v>
      </c>
      <c r="R124" s="22" t="str">
        <f>IF(テーブル14[[#This Row],[変更種別]]="新規","",テーブル14[[#This Row],[id]])</f>
        <v>981d381d-01dc-4b65-b306-f2a5f5a34c7b</v>
      </c>
      <c r="S124" s="22" t="str">
        <f>IF(テーブル14[[#This Row],[変更種別]]="削除",
       "",
       IF(テーブル14[[#This Row],[title / 変更]]="",テーブル14[[#This Row],[title]],テーブル14[[#This Row],[title / 変更]]))</f>
        <v>人達（人事・総務関連通達）</v>
      </c>
      <c r="T124" s="22" t="str">
        <f>IF(テーブル14[[#This Row],[変更種別]]="削除",
       "",
       IF(テーブル14[[#This Row],[url / 変更]]="",テーブル14[[#This Row],[url]],テーブル14[[#This Row],[url / 変更]]))</f>
        <v>https://itochucorp.sharepoint.com/sites/intra-tokpj_hr/Lists/List003/AllItems.aspx</v>
      </c>
      <c r="U124" s="22" t="str">
        <f>IF(テーブル14[[#This Row],[変更種別]]="削除",
       "",
       IF(テーブル14[[#This Row],[keywords / 変更]]="",テーブル14[[#This Row],[keywords]],テーブル14[[#This Row],[keywords / 変更]]))</f>
        <v>[ "110", "１１０", "110運動", "１１０運動" ]</v>
      </c>
      <c r="V124" s="22" t="str">
        <f>IF(テーブル14[[#This Row],[変更種別]]="削除",
       "",
       IF(テーブル14[[#This Row],[comment]]="","",テーブル14[[#This Row],[comment]]))</f>
        <v/>
      </c>
      <c r="W124" s="22" t="str">
        <f>IF(テーブル14[[#This Row],[変更種別]]="削除",
       "",
       IF(テーブル14[[#This Row],[priority / 変更後]]="",テーブル14[[#This Row],[priority]],テーブル14[[#This Row],[priority / 変更後]]))</f>
        <v>1</v>
      </c>
      <c r="X12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"110運動", "110" ]
　後: [ "110", "１１０", "110運動", "１１０運動" ]
</v>
      </c>
    </row>
    <row r="125" spans="1:24" ht="57" x14ac:dyDescent="0.25">
      <c r="A125" s="20" t="s">
        <v>773</v>
      </c>
      <c r="B125" s="20" t="s">
        <v>999</v>
      </c>
      <c r="C125" s="20" t="s">
        <v>76</v>
      </c>
      <c r="D125" s="20" t="s">
        <v>74</v>
      </c>
      <c r="E125" s="20" t="s">
        <v>75</v>
      </c>
      <c r="F125" s="20" t="s">
        <v>904</v>
      </c>
      <c r="G125" s="20"/>
      <c r="H125" s="20" t="s">
        <v>999</v>
      </c>
      <c r="I125" s="21" t="s">
        <v>975</v>
      </c>
      <c r="J125" s="21"/>
      <c r="K125" s="21"/>
      <c r="L125" s="21" t="s">
        <v>1060</v>
      </c>
      <c r="M125" s="21"/>
      <c r="N125" s="21" t="s">
        <v>1189</v>
      </c>
      <c r="O125" s="21"/>
      <c r="P125" s="22" t="str">
        <f>IF(_xlfn.CONCAT(テーブル14[[#This Row],[変更種別]:[keywords / 変更]])&lt;&gt;"","","*")</f>
        <v/>
      </c>
      <c r="Q125" s="22" t="str">
        <f>IF(テーブル14[[#This Row],[変更種別]]="削除","2",IF(テーブル14[[#This Row],[_ex2]]="","1",""))</f>
        <v>1</v>
      </c>
      <c r="R125" s="22" t="str">
        <f>IF(テーブル14[[#This Row],[変更種別]]="新規","",テーブル14[[#This Row],[id]])</f>
        <v>9ead07bf-ec50-4e0e-9e7a-6252cf2a61bf</v>
      </c>
      <c r="S125" s="22" t="str">
        <f>IF(テーブル14[[#This Row],[変更種別]]="削除",
       "",
       IF(テーブル14[[#This Row],[title / 変更]]="",テーブル14[[#This Row],[title]],テーブル14[[#This Row],[title / 変更]]))</f>
        <v>業務部 サイト</v>
      </c>
      <c r="T125" s="22" t="str">
        <f>IF(テーブル14[[#This Row],[変更種別]]="削除",
       "",
       IF(テーブル14[[#This Row],[url / 変更]]="",テーブル14[[#This Row],[url]],テーブル14[[#This Row],[url / 変更]]))</f>
        <v>https://itochucorp.sharepoint.com/sites/intra-tokoa/SitePages/TopPage.aspx</v>
      </c>
      <c r="U125" s="22" t="str">
        <f>IF(テーブル14[[#This Row],[変更種別]]="削除",
       "",
       IF(テーブル14[[#This Row],[keywords / 変更]]="",テーブル14[[#This Row],[keywords]],テーブル14[[#This Row],[keywords / 変更]]))</f>
        <v>[ "hmc", "ｈｍｃ" ]</v>
      </c>
      <c r="V125" s="22" t="str">
        <f>IF(テーブル14[[#This Row],[変更種別]]="削除",
       "",
       IF(テーブル14[[#This Row],[comment]]="","",テーブル14[[#This Row],[comment]]))</f>
        <v/>
      </c>
      <c r="W125" s="22" t="str">
        <f>IF(テーブル14[[#This Row],[変更種別]]="削除",
       "",
       IF(テーブル14[[#This Row],[priority / 変更後]]="",テーブル14[[#This Row],[priority]],テーブル14[[#This Row],[priority / 変更後]]))</f>
        <v>1</v>
      </c>
      <c r="X12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"HMC" ]
　後: [ "hmc", "ｈｍｃ" ]
</v>
      </c>
    </row>
    <row r="126" spans="1:24" x14ac:dyDescent="0.25">
      <c r="A126" s="20" t="s">
        <v>773</v>
      </c>
      <c r="B126" s="20" t="s">
        <v>999</v>
      </c>
      <c r="C126" s="20" t="s">
        <v>635</v>
      </c>
      <c r="D126" s="20" t="s">
        <v>633</v>
      </c>
      <c r="E126" s="20" t="s">
        <v>634</v>
      </c>
      <c r="F126" s="20" t="s">
        <v>905</v>
      </c>
      <c r="G126" s="20"/>
      <c r="H126" s="20" t="s">
        <v>999</v>
      </c>
      <c r="I126" s="21"/>
      <c r="J126" s="21"/>
      <c r="K126" s="21"/>
      <c r="L126" s="21"/>
      <c r="M126" s="21"/>
      <c r="N126" s="21" t="s">
        <v>1189</v>
      </c>
      <c r="O126" s="21"/>
      <c r="P126" s="22" t="str">
        <f>IF(_xlfn.CONCAT(テーブル14[[#This Row],[変更種別]:[keywords / 変更]])&lt;&gt;"","","*")</f>
        <v>*</v>
      </c>
      <c r="Q126" s="22" t="str">
        <f>IF(テーブル14[[#This Row],[変更種別]]="削除","2",IF(テーブル14[[#This Row],[_ex2]]="","1",""))</f>
        <v/>
      </c>
      <c r="R126" s="22" t="str">
        <f>IF(テーブル14[[#This Row],[変更種別]]="新規","",テーブル14[[#This Row],[id]])</f>
        <v>532c65fb-25cc-46d9-b86d-d6f28fbc0015</v>
      </c>
      <c r="S126" s="22" t="str">
        <f>IF(テーブル14[[#This Row],[変更種別]]="削除",
       "",
       IF(テーブル14[[#This Row],[title / 変更]]="",テーブル14[[#This Row],[title]],テーブル14[[#This Row],[title / 変更]]))</f>
        <v>伊藤忠健康保険組合 直営保養所 トップページ</v>
      </c>
      <c r="T126" s="22" t="str">
        <f>IF(テーブル14[[#This Row],[変更種別]]="削除",
       "",
       IF(テーブル14[[#This Row],[url / 変更]]="",テーブル14[[#This Row],[url]],テーブル14[[#This Row],[url / 変更]]))</f>
        <v>http://www.itc-hoyoujo.jp/itc-hyoyo/</v>
      </c>
      <c r="U126" s="22" t="str">
        <f>IF(テーブル14[[#This Row],[変更種別]]="削除",
       "",
       IF(テーブル14[[#This Row],[keywords / 変更]]="",テーブル14[[#This Row],[keywords]],テーブル14[[#This Row],[keywords / 変更]]))</f>
        <v>[ "保養所" ]</v>
      </c>
      <c r="V126" s="22" t="str">
        <f>IF(テーブル14[[#This Row],[変更種別]]="削除",
       "",
       IF(テーブル14[[#This Row],[comment]]="","",テーブル14[[#This Row],[comment]]))</f>
        <v/>
      </c>
      <c r="W126" s="22" t="str">
        <f>IF(テーブル14[[#This Row],[変更種別]]="削除",
       "",
       IF(テーブル14[[#This Row],[priority / 変更後]]="",テーブル14[[#This Row],[priority]],テーブル14[[#This Row],[priority / 変更後]]))</f>
        <v>1</v>
      </c>
      <c r="X12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27" spans="1:24" x14ac:dyDescent="0.25">
      <c r="A127" s="20" t="s">
        <v>773</v>
      </c>
      <c r="B127" s="20" t="s">
        <v>999</v>
      </c>
      <c r="C127" s="20" t="s">
        <v>491</v>
      </c>
      <c r="D127" s="20" t="s">
        <v>489</v>
      </c>
      <c r="E127" s="20" t="s">
        <v>490</v>
      </c>
      <c r="F127" s="20" t="s">
        <v>906</v>
      </c>
      <c r="G127" s="20"/>
      <c r="H127" s="20" t="s">
        <v>999</v>
      </c>
      <c r="I127" s="21"/>
      <c r="J127" s="21"/>
      <c r="K127" s="21"/>
      <c r="L127" s="21"/>
      <c r="M127" s="21"/>
      <c r="N127" s="21" t="s">
        <v>1189</v>
      </c>
      <c r="O127" s="21"/>
      <c r="P127" s="22" t="str">
        <f>IF(_xlfn.CONCAT(テーブル14[[#This Row],[変更種別]:[keywords / 変更]])&lt;&gt;"","","*")</f>
        <v>*</v>
      </c>
      <c r="Q127" s="22" t="str">
        <f>IF(テーブル14[[#This Row],[変更種別]]="削除","2",IF(テーブル14[[#This Row],[_ex2]]="","1",""))</f>
        <v/>
      </c>
      <c r="R127" s="22" t="str">
        <f>IF(テーブル14[[#This Row],[変更種別]]="新規","",テーブル14[[#This Row],[id]])</f>
        <v>4e88eaa0-c9c2-44aa-bc4e-2a3b45588a82</v>
      </c>
      <c r="S127" s="22" t="str">
        <f>IF(テーブル14[[#This Row],[変更種別]]="削除",
       "",
       IF(テーブル14[[#This Row],[title / 変更]]="",テーブル14[[#This Row],[title]],テーブル14[[#This Row],[title / 変更]]))</f>
        <v>業務部 社内ルール(規定・基準・通達) サイト</v>
      </c>
      <c r="T127" s="22" t="str">
        <f>IF(テーブル14[[#This Row],[変更種別]]="削除",
       "",
       IF(テーブル14[[#This Row],[url / 変更]]="",テーブル14[[#This Row],[url]],テーブル14[[#This Row],[url / 変更]]))</f>
        <v>https://itochucorp.sharepoint.com/sites/intra-tokoa/DocLib002/Forms/AllItems.aspx</v>
      </c>
      <c r="U127" s="22" t="str">
        <f>IF(テーブル14[[#This Row],[変更種別]]="削除",
       "",
       IF(テーブル14[[#This Row],[keywords / 変更]]="",テーブル14[[#This Row],[keywords]],テーブル14[[#This Row],[keywords / 変更]]))</f>
        <v>[ "分掌", "職務権限責任規程" ]</v>
      </c>
      <c r="V127" s="22" t="str">
        <f>IF(テーブル14[[#This Row],[変更種別]]="削除",
       "",
       IF(テーブル14[[#This Row],[comment]]="","",テーブル14[[#This Row],[comment]]))</f>
        <v/>
      </c>
      <c r="W127" s="22" t="str">
        <f>IF(テーブル14[[#This Row],[変更種別]]="削除",
       "",
       IF(テーブル14[[#This Row],[priority / 変更後]]="",テーブル14[[#This Row],[priority]],テーブル14[[#This Row],[priority / 変更後]]))</f>
        <v>1</v>
      </c>
      <c r="X12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28" spans="1:24" ht="57" x14ac:dyDescent="0.25">
      <c r="A128" s="20" t="s">
        <v>773</v>
      </c>
      <c r="B128" s="20" t="s">
        <v>999</v>
      </c>
      <c r="C128" s="20" t="s">
        <v>199</v>
      </c>
      <c r="D128" s="20" t="s">
        <v>198</v>
      </c>
      <c r="E128" s="20" t="s">
        <v>907</v>
      </c>
      <c r="F128" s="20" t="s">
        <v>908</v>
      </c>
      <c r="G128" s="20"/>
      <c r="H128" s="20" t="s">
        <v>999</v>
      </c>
      <c r="I128" s="21" t="s">
        <v>1181</v>
      </c>
      <c r="J128" s="21"/>
      <c r="K128" s="21"/>
      <c r="L128" s="21" t="s">
        <v>1188</v>
      </c>
      <c r="M128" s="21"/>
      <c r="N128" s="21" t="s">
        <v>1189</v>
      </c>
      <c r="O128" s="21"/>
      <c r="P128" s="22" t="str">
        <f>IF(_xlfn.CONCAT(テーブル14[[#This Row],[変更種別]:[keywords / 変更]])&lt;&gt;"","","*")</f>
        <v/>
      </c>
      <c r="Q128" s="22" t="str">
        <f>IF(テーブル14[[#This Row],[変更種別]]="削除","2",IF(テーブル14[[#This Row],[_ex2]]="","1",""))</f>
        <v>1</v>
      </c>
      <c r="R128" s="22" t="str">
        <f>IF(テーブル14[[#This Row],[変更種別]]="新規","",テーブル14[[#This Row],[id]])</f>
        <v>993afac5-c102-47c3-83bc-8d943b959b9f</v>
      </c>
      <c r="S128" s="22" t="str">
        <f>IF(テーブル14[[#This Row],[変更種別]]="削除",
       "",
       IF(テーブル14[[#This Row],[title / 変更]]="",テーブル14[[#This Row],[title]],テーブル14[[#This Row],[title / 変更]]))</f>
        <v>チャレンジ・キャリア制度 サイト</v>
      </c>
      <c r="T128" s="22" t="str">
        <f>IF(テーブル14[[#This Row],[変更種別]]="削除",
       "",
       IF(テーブル14[[#This Row],[url / 変更]]="",テーブル14[[#This Row],[url]],テーブル14[[#This Row],[url / 変更]]))</f>
        <v>https://itochucorp.sharepoint.com/sites/intra-tokpj_hr/SitePages/チャレンジ・キャリア制度.aspx</v>
      </c>
      <c r="U128" s="22" t="str">
        <f>IF(テーブル14[[#This Row],[変更種別]]="削除",
       "",
       IF(テーブル14[[#This Row],[keywords / 変更]]="",テーブル14[[#This Row],[keywords]],テーブル14[[#This Row],[keywords / 変更]]))</f>
        <v>[ "チャレンジキャリア", "チャレンジキャリア制度", "チャレンジ・キャリア", "キャリアビジョン", "キャリア", "キャリアビジョン支援研修" ]</v>
      </c>
      <c r="V128" s="22" t="str">
        <f>IF(テーブル14[[#This Row],[変更種別]]="削除",
       "",
       IF(テーブル14[[#This Row],[comment]]="","",テーブル14[[#This Row],[comment]]))</f>
        <v/>
      </c>
      <c r="W128" s="22" t="str">
        <f>IF(テーブル14[[#This Row],[変更種別]]="削除",
       "",
       IF(テーブル14[[#This Row],[priority / 変更後]]="",テーブル14[[#This Row],[priority]],テーブル14[[#This Row],[priority / 変更後]]))</f>
        <v>1</v>
      </c>
      <c r="X12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"チャレンジキャリア", "チャレンジキャリア制度", "チャレンジ・キャリア", "キャリアビジョン", "キャリア" ]
　後: [ "チャレンジキャリア", "チャレンジキャリア制度", "チャレンジ・キャリア", "キャリアビジョン", "キャリア", "キャリアビジョン支援研修" ]
</v>
      </c>
    </row>
    <row r="129" spans="1:24" x14ac:dyDescent="0.25">
      <c r="A129" s="20" t="s">
        <v>773</v>
      </c>
      <c r="B129" s="20" t="s">
        <v>999</v>
      </c>
      <c r="C129" s="20" t="s">
        <v>294</v>
      </c>
      <c r="D129" s="20" t="s">
        <v>292</v>
      </c>
      <c r="E129" s="20" t="s">
        <v>293</v>
      </c>
      <c r="F129" s="20" t="s">
        <v>909</v>
      </c>
      <c r="G129" s="20"/>
      <c r="H129" s="20" t="s">
        <v>999</v>
      </c>
      <c r="I129" s="21"/>
      <c r="J129" s="21"/>
      <c r="K129" s="21"/>
      <c r="L129" s="21"/>
      <c r="M129" s="21"/>
      <c r="N129" s="21" t="s">
        <v>1189</v>
      </c>
      <c r="O129" s="21"/>
      <c r="P129" s="22" t="str">
        <f>IF(_xlfn.CONCAT(テーブル14[[#This Row],[変更種別]:[keywords / 変更]])&lt;&gt;"","","*")</f>
        <v>*</v>
      </c>
      <c r="Q129" s="22" t="str">
        <f>IF(テーブル14[[#This Row],[変更種別]]="削除","2",IF(テーブル14[[#This Row],[_ex2]]="","1",""))</f>
        <v/>
      </c>
      <c r="R129" s="22" t="str">
        <f>IF(テーブル14[[#This Row],[変更種別]]="新規","",テーブル14[[#This Row],[id]])</f>
        <v>ead784c5-f354-4f1d-a360-0346d921e162</v>
      </c>
      <c r="S129" s="22" t="str">
        <f>IF(テーブル14[[#This Row],[変更種別]]="削除",
       "",
       IF(テーブル14[[#This Row],[title / 変更]]="",テーブル14[[#This Row],[title]],テーブル14[[#This Row],[title / 変更]]))</f>
        <v>伊藤忠労働組合サイト ログイン</v>
      </c>
      <c r="T129" s="22" t="str">
        <f>IF(テーブル14[[#This Row],[変更種別]]="削除",
       "",
       IF(テーブル14[[#This Row],[url / 変更]]="",テーブル14[[#This Row],[url]],テーブル14[[#This Row],[url / 変更]]))</f>
        <v>https://ilu.or.jp/wp-login.php?redirect_to=https%3A%2F%2Filu.or.jp%2F&amp;reauth=1</v>
      </c>
      <c r="U129" s="22" t="str">
        <f>IF(テーブル14[[#This Row],[変更種別]]="削除",
       "",
       IF(テーブル14[[#This Row],[keywords / 変更]]="",テーブル14[[#This Row],[keywords]],テーブル14[[#This Row],[keywords / 変更]]))</f>
        <v>[ "労働組合", "組合", "伊藤忠労働組合", "労組" ]</v>
      </c>
      <c r="V129" s="22" t="str">
        <f>IF(テーブル14[[#This Row],[変更種別]]="削除",
       "",
       IF(テーブル14[[#This Row],[comment]]="","",テーブル14[[#This Row],[comment]]))</f>
        <v/>
      </c>
      <c r="W129" s="22" t="str">
        <f>IF(テーブル14[[#This Row],[変更種別]]="削除",
       "",
       IF(テーブル14[[#This Row],[priority / 変更後]]="",テーブル14[[#This Row],[priority]],テーブル14[[#This Row],[priority / 変更後]]))</f>
        <v>1</v>
      </c>
      <c r="X12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30" spans="1:24" x14ac:dyDescent="0.25">
      <c r="A130" s="20" t="s">
        <v>773</v>
      </c>
      <c r="B130" s="20" t="s">
        <v>999</v>
      </c>
      <c r="C130" s="20" t="s">
        <v>1061</v>
      </c>
      <c r="D130" s="20" t="s">
        <v>19</v>
      </c>
      <c r="E130" s="20" t="s">
        <v>20</v>
      </c>
      <c r="F130" s="20" t="s">
        <v>1062</v>
      </c>
      <c r="G130" s="20"/>
      <c r="H130" s="20" t="s">
        <v>999</v>
      </c>
      <c r="I130" s="21" t="s">
        <v>1002</v>
      </c>
      <c r="J130" s="21"/>
      <c r="K130" s="21"/>
      <c r="L130" s="21"/>
      <c r="M130" s="21"/>
      <c r="N130" s="21"/>
      <c r="O130" s="21" t="s">
        <v>1057</v>
      </c>
      <c r="P130" s="22" t="str">
        <f>IF(_xlfn.CONCAT(テーブル14[[#This Row],[変更種別]:[keywords / 変更]])&lt;&gt;"","","*")</f>
        <v/>
      </c>
      <c r="Q130" s="22" t="str">
        <f>IF(テーブル14[[#This Row],[変更種別]]="削除","2",IF(テーブル14[[#This Row],[_ex2]]="","1",""))</f>
        <v>2</v>
      </c>
      <c r="R130" s="22" t="str">
        <f>IF(テーブル14[[#This Row],[変更種別]]="新規","",テーブル14[[#This Row],[id]])</f>
        <v>be80d5db-ec88-4048-b4b9-f397d0db32b8</v>
      </c>
      <c r="S130" s="22" t="str">
        <f>IF(テーブル14[[#This Row],[変更種別]]="削除",
       "",
       IF(テーブル14[[#This Row],[title / 変更]]="",テーブル14[[#This Row],[title]],テーブル14[[#This Row],[title / 変更]]))</f>
        <v/>
      </c>
      <c r="T130" s="22" t="str">
        <f>IF(テーブル14[[#This Row],[変更種別]]="削除",
       "",
       IF(テーブル14[[#This Row],[url / 変更]]="",テーブル14[[#This Row],[url]],テーブル14[[#This Row],[url / 変更]]))</f>
        <v/>
      </c>
      <c r="U130" s="22" t="str">
        <f>IF(テーブル14[[#This Row],[変更種別]]="削除",
       "",
       IF(テーブル14[[#This Row],[keywords / 変更]]="",テーブル14[[#This Row],[keywords]],テーブル14[[#This Row],[keywords / 変更]]))</f>
        <v/>
      </c>
      <c r="V130" s="22" t="str">
        <f>IF(テーブル14[[#This Row],[変更種別]]="削除",
       "",
       IF(テーブル14[[#This Row],[comment]]="","",テーブル14[[#This Row],[comment]]))</f>
        <v/>
      </c>
      <c r="W130" s="22" t="str">
        <f>IF(テーブル14[[#This Row],[変更種別]]="削除",
       "",
       IF(テーブル14[[#This Row],[priority / 変更後]]="",テーブル14[[#This Row],[priority]],テーブル14[[#This Row],[priority / 変更後]]))</f>
        <v/>
      </c>
      <c r="X13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31" spans="1:24" x14ac:dyDescent="0.25">
      <c r="A131" s="20" t="s">
        <v>773</v>
      </c>
      <c r="B131" s="20" t="s">
        <v>999</v>
      </c>
      <c r="C131" s="20" t="s">
        <v>910</v>
      </c>
      <c r="D131" s="20" t="s">
        <v>321</v>
      </c>
      <c r="E131" s="20" t="s">
        <v>322</v>
      </c>
      <c r="F131" s="20" t="s">
        <v>911</v>
      </c>
      <c r="G131" s="20"/>
      <c r="H131" s="20" t="s">
        <v>999</v>
      </c>
      <c r="I131" s="21"/>
      <c r="J131" s="21"/>
      <c r="K131" s="21"/>
      <c r="L131" s="21"/>
      <c r="M131" s="21"/>
      <c r="N131" s="21" t="s">
        <v>1189</v>
      </c>
      <c r="O131" s="21"/>
      <c r="P131" s="22" t="str">
        <f>IF(_xlfn.CONCAT(テーブル14[[#This Row],[変更種別]:[keywords / 変更]])&lt;&gt;"","","*")</f>
        <v>*</v>
      </c>
      <c r="Q131" s="22" t="str">
        <f>IF(テーブル14[[#This Row],[変更種別]]="削除","2",IF(テーブル14[[#This Row],[_ex2]]="","1",""))</f>
        <v/>
      </c>
      <c r="R131" s="22" t="str">
        <f>IF(テーブル14[[#This Row],[変更種別]]="新規","",テーブル14[[#This Row],[id]])</f>
        <v>bed67cb8-837e-46a5-bbfb-867eceb88bb5</v>
      </c>
      <c r="S131" s="22" t="str">
        <f>IF(テーブル14[[#This Row],[変更種別]]="削除",
       "",
       IF(テーブル14[[#This Row],[title / 変更]]="",テーブル14[[#This Row],[title]],テーブル14[[#This Row],[title / 変更]]))</f>
        <v>人事月報</v>
      </c>
      <c r="T131" s="22" t="str">
        <f>IF(テーブル14[[#This Row],[変更種別]]="削除",
       "",
       IF(テーブル14[[#This Row],[url / 変更]]="",テーブル14[[#This Row],[url]],テーブル14[[#This Row],[url / 変更]]))</f>
        <v>https://itochucorp.sharepoint.com/sites/intra-tokpj_hr/DocLib001/Forms/AllItems.aspx</v>
      </c>
      <c r="U131" s="22" t="str">
        <f>IF(テーブル14[[#This Row],[変更種別]]="削除",
       "",
       IF(テーブル14[[#This Row],[keywords / 変更]]="",テーブル14[[#This Row],[keywords]],テーブル14[[#This Row],[keywords / 変更]]))</f>
        <v>[ "懲戒", "月報", "人事月報", "解雇", "人事", "人事異動" ]</v>
      </c>
      <c r="V131" s="22" t="str">
        <f>IF(テーブル14[[#This Row],[変更種別]]="削除",
       "",
       IF(テーブル14[[#This Row],[comment]]="","",テーブル14[[#This Row],[comment]]))</f>
        <v/>
      </c>
      <c r="W131" s="22" t="str">
        <f>IF(テーブル14[[#This Row],[変更種別]]="削除",
       "",
       IF(テーブル14[[#This Row],[priority / 変更後]]="",テーブル14[[#This Row],[priority]],テーブル14[[#This Row],[priority / 変更後]]))</f>
        <v>1</v>
      </c>
      <c r="X13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32" spans="1:24" ht="57" x14ac:dyDescent="0.25">
      <c r="A132" s="20" t="s">
        <v>773</v>
      </c>
      <c r="B132" s="20" t="s">
        <v>999</v>
      </c>
      <c r="C132" s="20" t="s">
        <v>1063</v>
      </c>
      <c r="D132" s="20" t="s">
        <v>19</v>
      </c>
      <c r="E132" s="20" t="s">
        <v>20</v>
      </c>
      <c r="F132" s="20" t="s">
        <v>912</v>
      </c>
      <c r="G132" s="20"/>
      <c r="H132" s="20" t="s">
        <v>999</v>
      </c>
      <c r="I132" s="21" t="s">
        <v>975</v>
      </c>
      <c r="J132" s="21"/>
      <c r="K132" s="21"/>
      <c r="L132" s="21" t="s">
        <v>1064</v>
      </c>
      <c r="M132" s="21"/>
      <c r="N132" s="21" t="s">
        <v>1189</v>
      </c>
      <c r="O132" s="21"/>
      <c r="P132" s="22" t="str">
        <f>IF(_xlfn.CONCAT(テーブル14[[#This Row],[変更種別]:[keywords / 変更]])&lt;&gt;"","","*")</f>
        <v/>
      </c>
      <c r="Q132" s="22" t="str">
        <f>IF(テーブル14[[#This Row],[変更種別]]="削除","2",IF(テーブル14[[#This Row],[_ex2]]="","1",""))</f>
        <v>1</v>
      </c>
      <c r="R132" s="22" t="str">
        <f>IF(テーブル14[[#This Row],[変更種別]]="新規","",テーブル14[[#This Row],[id]])</f>
        <v>2410f285-42b2-4798-a9ff-38c52c5772fe</v>
      </c>
      <c r="S132" s="22" t="str">
        <f>IF(テーブル14[[#This Row],[変更種別]]="削除",
       "",
       IF(テーブル14[[#This Row],[title / 変更]]="",テーブル14[[#This Row],[title]],テーブル14[[#This Row],[title / 変更]]))</f>
        <v>制度一覧</v>
      </c>
      <c r="T132" s="22" t="str">
        <f>IF(テーブル14[[#This Row],[変更種別]]="削除",
       "",
       IF(テーブル14[[#This Row],[url / 変更]]="",テーブル14[[#This Row],[url]],テーブル14[[#This Row],[url / 変更]]))</f>
        <v>https://itochucorp.sharepoint.com/sites/intra-tokpj_hr/SitePages/seido/制度一覧.aspx</v>
      </c>
      <c r="U132" s="22" t="str">
        <f>IF(テーブル14[[#This Row],[変更種別]]="削除",
       "",
       IF(テーブル14[[#This Row],[keywords / 変更]]="",テーブル14[[#This Row],[keywords]],テーブル14[[#This Row],[keywords / 変更]]))</f>
        <v>[ "band", "ｂａｎｄ", "grade", "ｇｒａｄｅ", "rank", "ｒａｎｋ", "昇格", "能力評価", "職務調査", "資格取得届", "名刺", "名刺タイトル" ]</v>
      </c>
      <c r="V132" s="22" t="str">
        <f>IF(テーブル14[[#This Row],[変更種別]]="削除",
       "",
       IF(テーブル14[[#This Row],[comment]]="","",テーブル14[[#This Row],[comment]]))</f>
        <v/>
      </c>
      <c r="W132" s="22" t="str">
        <f>IF(テーブル14[[#This Row],[変更種別]]="削除",
       "",
       IF(テーブル14[[#This Row],[priority / 変更後]]="",テーブル14[[#This Row],[priority]],テーブル14[[#This Row],[priority / 変更後]]))</f>
        <v>1</v>
      </c>
      <c r="X13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"Band", "grade", "rank", "昇格", "能力評価", "職務調査" ]
　後: [ "band", "ｂａｎｄ", "grade", "ｇｒａｄｅ", "rank", "ｒａｎｋ", "昇格", "能力評価", "職務調査", "資格取得届", "名刺", "名刺タイトル" ]
</v>
      </c>
    </row>
    <row r="133" spans="1:24" ht="57" x14ac:dyDescent="0.25">
      <c r="A133" s="20" t="s">
        <v>773</v>
      </c>
      <c r="B133" s="20" t="s">
        <v>999</v>
      </c>
      <c r="C133" s="20" t="s">
        <v>24</v>
      </c>
      <c r="D133" s="20" t="s">
        <v>22</v>
      </c>
      <c r="E133" s="20" t="s">
        <v>23</v>
      </c>
      <c r="F133" s="20" t="s">
        <v>913</v>
      </c>
      <c r="G133" s="20"/>
      <c r="H133" s="20" t="s">
        <v>999</v>
      </c>
      <c r="I133" s="21" t="s">
        <v>975</v>
      </c>
      <c r="J133" s="21"/>
      <c r="K133" s="21"/>
      <c r="L133" s="21" t="s">
        <v>1065</v>
      </c>
      <c r="M133" s="21"/>
      <c r="N133" s="21" t="s">
        <v>1191</v>
      </c>
      <c r="O133" s="21"/>
      <c r="P133" s="22" t="str">
        <f>IF(_xlfn.CONCAT(テーブル14[[#This Row],[変更種別]:[keywords / 変更]])&lt;&gt;"","","*")</f>
        <v/>
      </c>
      <c r="Q133" s="22" t="str">
        <f>IF(テーブル14[[#This Row],[変更種別]]="削除","2",IF(テーブル14[[#This Row],[_ex2]]="","1",""))</f>
        <v>1</v>
      </c>
      <c r="R133" s="22" t="str">
        <f>IF(テーブル14[[#This Row],[変更種別]]="新規","",テーブル14[[#This Row],[id]])</f>
        <v>bc9c0502-fedc-487b-8794-e2989e152d7e</v>
      </c>
      <c r="S133" s="22" t="str">
        <f>IF(テーブル14[[#This Row],[変更種別]]="削除",
       "",
       IF(テーブル14[[#This Row],[title / 変更]]="",テーブル14[[#This Row],[title]],テーブル14[[#This Row],[title / 変更]]))</f>
        <v>【通達】新型コロナウイルスへの対応</v>
      </c>
      <c r="T133" s="22" t="str">
        <f>IF(テーブル14[[#This Row],[変更種別]]="削除",
       "",
       IF(テーブル14[[#This Row],[url / 変更]]="",テーブル14[[#This Row],[url]],テーブル14[[#This Row],[url / 変更]]))</f>
        <v>https://itochucorp.sharepoint.com/sites/intra-tokpj_ga-bcp/Shared%20Documents/files/tsutatsu.pdf</v>
      </c>
      <c r="U133" s="22" t="str">
        <f>IF(テーブル14[[#This Row],[変更種別]]="削除",
       "",
       IF(テーブル14[[#This Row],[keywords / 変更]]="",テーブル14[[#This Row],[keywords]],テーブル14[[#This Row],[keywords / 変更]]))</f>
        <v>[ "コロナ", "コロナウィルス", "bcp", "ｂｃｐ", "在宅勤務", "新型コロナ", "新型コロナウイルス", "コロナウイルス", "コロナウィルスへの対応" ]</v>
      </c>
      <c r="V133" s="22" t="str">
        <f>IF(テーブル14[[#This Row],[変更種別]]="削除",
       "",
       IF(テーブル14[[#This Row],[comment]]="","",テーブル14[[#This Row],[comment]]))</f>
        <v/>
      </c>
      <c r="W133" s="22" t="str">
        <f>IF(テーブル14[[#This Row],[変更種別]]="削除",
       "",
       IF(テーブル14[[#This Row],[priority / 変更後]]="",テーブル14[[#This Row],[priority]],テーブル14[[#This Row],[priority / 変更後]]))</f>
        <v>2</v>
      </c>
      <c r="X13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"コロナ", "コロナウィルス", "BCP", "在宅勤務", "新型コロナ", "新型コロナウイルス", "コロナウイルス", "コロナウィルスへの対応" ]
　後: [ "コロナ", "コロナウィルス", "bcp", "ｂｃｐ", "在宅勤務", "新型コロナ", "新型コロナウイルス", "コロナウイルス", "コロナウィルスへの対応" ]
</v>
      </c>
    </row>
    <row r="134" spans="1:24" ht="99.75" x14ac:dyDescent="0.25">
      <c r="A134" s="20" t="s">
        <v>773</v>
      </c>
      <c r="B134" s="20" t="s">
        <v>999</v>
      </c>
      <c r="C134" s="20" t="s">
        <v>26</v>
      </c>
      <c r="D134" s="20" t="s">
        <v>914</v>
      </c>
      <c r="E134" s="20" t="s">
        <v>25</v>
      </c>
      <c r="F134" s="20" t="s">
        <v>913</v>
      </c>
      <c r="G134" s="20"/>
      <c r="H134" s="20" t="s">
        <v>999</v>
      </c>
      <c r="I134" s="21" t="s">
        <v>975</v>
      </c>
      <c r="J134" s="21" t="s">
        <v>1186</v>
      </c>
      <c r="K134" s="21"/>
      <c r="L134" s="21" t="s">
        <v>1065</v>
      </c>
      <c r="M134" s="21"/>
      <c r="N134" s="21" t="s">
        <v>1189</v>
      </c>
      <c r="O134" s="21"/>
      <c r="P134" s="22" t="str">
        <f>IF(_xlfn.CONCAT(テーブル14[[#This Row],[変更種別]:[keywords / 変更]])&lt;&gt;"","","*")</f>
        <v/>
      </c>
      <c r="Q134" s="22" t="str">
        <f>IF(テーブル14[[#This Row],[変更種別]]="削除","2",IF(テーブル14[[#This Row],[_ex2]]="","1",""))</f>
        <v>1</v>
      </c>
      <c r="R134" s="22" t="str">
        <f>IF(テーブル14[[#This Row],[変更種別]]="新規","",テーブル14[[#This Row],[id]])</f>
        <v>d17f1054-90db-4c04-a6ee-74da236be001</v>
      </c>
      <c r="S134" s="22" t="str">
        <f>IF(テーブル14[[#This Row],[変更種別]]="削除",
       "",
       IF(テーブル14[[#This Row],[title / 変更]]="",テーブル14[[#This Row],[title]],テーブル14[[#This Row],[title / 変更]]))</f>
        <v>BCP（業務継続計画）</v>
      </c>
      <c r="T134" s="22" t="str">
        <f>IF(テーブル14[[#This Row],[変更種別]]="削除",
       "",
       IF(テーブル14[[#This Row],[url / 変更]]="",テーブル14[[#This Row],[url]],テーブル14[[#This Row],[url / 変更]]))</f>
        <v>https://itochucorp.sharepoint.com/sites/intra-tokpj_ga-bcp/SitePages/TopPage.aspx</v>
      </c>
      <c r="U134" s="22" t="str">
        <f>IF(テーブル14[[#This Row],[変更種別]]="削除",
       "",
       IF(テーブル14[[#This Row],[keywords / 変更]]="",テーブル14[[#This Row],[keywords]],テーブル14[[#This Row],[keywords / 変更]]))</f>
        <v>[ "コロナ", "コロナウィルス", "bcp", "ｂｃｐ", "在宅勤務", "新型コロナ", "新型コロナウイルス", "コロナウイルス", "コロナウィルスへの対応" ]</v>
      </c>
      <c r="V134" s="22" t="str">
        <f>IF(テーブル14[[#This Row],[変更種別]]="削除",
       "",
       IF(テーブル14[[#This Row],[comment]]="","",テーブル14[[#This Row],[comment]]))</f>
        <v/>
      </c>
      <c r="W134" s="22" t="str">
        <f>IF(テーブル14[[#This Row],[変更種別]]="削除",
       "",
       IF(テーブル14[[#This Row],[priority / 変更後]]="",テーブル14[[#This Row],[priority]],テーブル14[[#This Row],[priority / 変更後]]))</f>
        <v>1</v>
      </c>
      <c r="X13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前: 新型コロナウイルス対策本部
　後: BCP（業務継続計画）
■ KEYWORDS
　前: [ "コロナ", "コロナウィルス", "BCP", "在宅勤務", "新型コロナ", "新型コロナウイルス", "コロナウイルス", "コロナウィルスへの対応" ]
　後: [ "コロナ", "コロナウィルス", "bcp", "ｂｃｐ", "在宅勤務", "新型コロナ", "新型コロナウイルス", "コロナウイルス", "コロナウィルスへの対応" ]
</v>
      </c>
    </row>
    <row r="135" spans="1:24" x14ac:dyDescent="0.25">
      <c r="A135" s="20" t="s">
        <v>773</v>
      </c>
      <c r="B135" s="20" t="s">
        <v>999</v>
      </c>
      <c r="C135" s="20" t="s">
        <v>915</v>
      </c>
      <c r="D135" s="20" t="s">
        <v>916</v>
      </c>
      <c r="E135" s="20" t="s">
        <v>917</v>
      </c>
      <c r="F135" s="20" t="s">
        <v>918</v>
      </c>
      <c r="G135" s="20"/>
      <c r="H135" s="20" t="s">
        <v>999</v>
      </c>
      <c r="I135" s="21" t="s">
        <v>1002</v>
      </c>
      <c r="J135" s="21"/>
      <c r="K135" s="21"/>
      <c r="L135" s="21"/>
      <c r="M135" s="21"/>
      <c r="N135" s="21"/>
      <c r="O135" s="21" t="s">
        <v>1008</v>
      </c>
      <c r="P135" s="22" t="str">
        <f>IF(_xlfn.CONCAT(テーブル14[[#This Row],[変更種別]:[keywords / 変更]])&lt;&gt;"","","*")</f>
        <v/>
      </c>
      <c r="Q135" s="22" t="str">
        <f>IF(テーブル14[[#This Row],[変更種別]]="削除","2",IF(テーブル14[[#This Row],[_ex2]]="","1",""))</f>
        <v>2</v>
      </c>
      <c r="R135" s="22" t="str">
        <f>IF(テーブル14[[#This Row],[変更種別]]="新規","",テーブル14[[#This Row],[id]])</f>
        <v>4bbc62c8-ed7a-4ffb-8415-d7ca7ea5614a</v>
      </c>
      <c r="S135" s="22" t="str">
        <f>IF(テーブル14[[#This Row],[変更種別]]="削除",
       "",
       IF(テーブル14[[#This Row],[title / 変更]]="",テーブル14[[#This Row],[title]],テーブル14[[#This Row],[title / 変更]]))</f>
        <v/>
      </c>
      <c r="T135" s="22" t="str">
        <f>IF(テーブル14[[#This Row],[変更種別]]="削除",
       "",
       IF(テーブル14[[#This Row],[url / 変更]]="",テーブル14[[#This Row],[url]],テーブル14[[#This Row],[url / 変更]]))</f>
        <v/>
      </c>
      <c r="U135" s="22" t="str">
        <f>IF(テーブル14[[#This Row],[変更種別]]="削除",
       "",
       IF(テーブル14[[#This Row],[keywords / 変更]]="",テーブル14[[#This Row],[keywords]],テーブル14[[#This Row],[keywords / 変更]]))</f>
        <v/>
      </c>
      <c r="V135" s="22" t="str">
        <f>IF(テーブル14[[#This Row],[変更種別]]="削除",
       "",
       IF(テーブル14[[#This Row],[comment]]="","",テーブル14[[#This Row],[comment]]))</f>
        <v/>
      </c>
      <c r="W135" s="22" t="str">
        <f>IF(テーブル14[[#This Row],[変更種別]]="削除",
       "",
       IF(テーブル14[[#This Row],[priority / 変更後]]="",テーブル14[[#This Row],[priority]],テーブル14[[#This Row],[priority / 変更後]]))</f>
        <v/>
      </c>
      <c r="X13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36" spans="1:24" x14ac:dyDescent="0.25">
      <c r="A136" s="20" t="s">
        <v>773</v>
      </c>
      <c r="B136" s="20" t="s">
        <v>999</v>
      </c>
      <c r="C136" s="20" t="s">
        <v>919</v>
      </c>
      <c r="D136" s="20" t="s">
        <v>920</v>
      </c>
      <c r="E136" s="20" t="s">
        <v>921</v>
      </c>
      <c r="F136" s="20" t="s">
        <v>918</v>
      </c>
      <c r="G136" s="20"/>
      <c r="H136" s="20" t="s">
        <v>999</v>
      </c>
      <c r="I136" s="21" t="s">
        <v>1002</v>
      </c>
      <c r="J136" s="21"/>
      <c r="K136" s="21"/>
      <c r="L136" s="21"/>
      <c r="M136" s="21"/>
      <c r="N136" s="21"/>
      <c r="O136" s="21" t="s">
        <v>1066</v>
      </c>
      <c r="P136" s="22" t="str">
        <f>IF(_xlfn.CONCAT(テーブル14[[#This Row],[変更種別]:[keywords / 変更]])&lt;&gt;"","","*")</f>
        <v/>
      </c>
      <c r="Q136" s="22" t="str">
        <f>IF(テーブル14[[#This Row],[変更種別]]="削除","2",IF(テーブル14[[#This Row],[_ex2]]="","1",""))</f>
        <v>2</v>
      </c>
      <c r="R136" s="22" t="str">
        <f>IF(テーブル14[[#This Row],[変更種別]]="新規","",テーブル14[[#This Row],[id]])</f>
        <v>3b78f9b4-e097-402c-ace2-b20ce310903a</v>
      </c>
      <c r="S136" s="22" t="str">
        <f>IF(テーブル14[[#This Row],[変更種別]]="削除",
       "",
       IF(テーブル14[[#This Row],[title / 変更]]="",テーブル14[[#This Row],[title]],テーブル14[[#This Row],[title / 変更]]))</f>
        <v/>
      </c>
      <c r="T136" s="22" t="str">
        <f>IF(テーブル14[[#This Row],[変更種別]]="削除",
       "",
       IF(テーブル14[[#This Row],[url / 変更]]="",テーブル14[[#This Row],[url]],テーブル14[[#This Row],[url / 変更]]))</f>
        <v/>
      </c>
      <c r="U136" s="22" t="str">
        <f>IF(テーブル14[[#This Row],[変更種別]]="削除",
       "",
       IF(テーブル14[[#This Row],[keywords / 変更]]="",テーブル14[[#This Row],[keywords]],テーブル14[[#This Row],[keywords / 変更]]))</f>
        <v/>
      </c>
      <c r="V136" s="22" t="str">
        <f>IF(テーブル14[[#This Row],[変更種別]]="削除",
       "",
       IF(テーブル14[[#This Row],[comment]]="","",テーブル14[[#This Row],[comment]]))</f>
        <v/>
      </c>
      <c r="W136" s="22" t="str">
        <f>IF(テーブル14[[#This Row],[変更種別]]="削除",
       "",
       IF(テーブル14[[#This Row],[priority / 変更後]]="",テーブル14[[#This Row],[priority]],テーブル14[[#This Row],[priority / 変更後]]))</f>
        <v/>
      </c>
      <c r="X13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37" spans="1:24" x14ac:dyDescent="0.25">
      <c r="A137" s="20" t="s">
        <v>773</v>
      </c>
      <c r="B137" s="20" t="s">
        <v>999</v>
      </c>
      <c r="C137" s="20" t="s">
        <v>922</v>
      </c>
      <c r="D137" s="20" t="s">
        <v>923</v>
      </c>
      <c r="E137" s="20" t="s">
        <v>924</v>
      </c>
      <c r="F137" s="20" t="s">
        <v>918</v>
      </c>
      <c r="G137" s="20"/>
      <c r="H137" s="20" t="s">
        <v>999</v>
      </c>
      <c r="I137" s="21" t="s">
        <v>1002</v>
      </c>
      <c r="J137" s="21"/>
      <c r="K137" s="21"/>
      <c r="L137" s="21"/>
      <c r="M137" s="21"/>
      <c r="N137" s="21"/>
      <c r="O137" s="21" t="s">
        <v>1007</v>
      </c>
      <c r="P137" s="22" t="str">
        <f>IF(_xlfn.CONCAT(テーブル14[[#This Row],[変更種別]:[keywords / 変更]])&lt;&gt;"","","*")</f>
        <v/>
      </c>
      <c r="Q137" s="22" t="str">
        <f>IF(テーブル14[[#This Row],[変更種別]]="削除","2",IF(テーブル14[[#This Row],[_ex2]]="","1",""))</f>
        <v>2</v>
      </c>
      <c r="R137" s="22" t="str">
        <f>IF(テーブル14[[#This Row],[変更種別]]="新規","",テーブル14[[#This Row],[id]])</f>
        <v>58c57a86-a5ec-40c1-b2c7-da7e1a441196</v>
      </c>
      <c r="S137" s="22" t="str">
        <f>IF(テーブル14[[#This Row],[変更種別]]="削除",
       "",
       IF(テーブル14[[#This Row],[title / 変更]]="",テーブル14[[#This Row],[title]],テーブル14[[#This Row],[title / 変更]]))</f>
        <v/>
      </c>
      <c r="T137" s="22" t="str">
        <f>IF(テーブル14[[#This Row],[変更種別]]="削除",
       "",
       IF(テーブル14[[#This Row],[url / 変更]]="",テーブル14[[#This Row],[url]],テーブル14[[#This Row],[url / 変更]]))</f>
        <v/>
      </c>
      <c r="U137" s="22" t="str">
        <f>IF(テーブル14[[#This Row],[変更種別]]="削除",
       "",
       IF(テーブル14[[#This Row],[keywords / 変更]]="",テーブル14[[#This Row],[keywords]],テーブル14[[#This Row],[keywords / 変更]]))</f>
        <v/>
      </c>
      <c r="V137" s="22" t="str">
        <f>IF(テーブル14[[#This Row],[変更種別]]="削除",
       "",
       IF(テーブル14[[#This Row],[comment]]="","",テーブル14[[#This Row],[comment]]))</f>
        <v/>
      </c>
      <c r="W137" s="22" t="str">
        <f>IF(テーブル14[[#This Row],[変更種別]]="削除",
       "",
       IF(テーブル14[[#This Row],[priority / 変更後]]="",テーブル14[[#This Row],[priority]],テーブル14[[#This Row],[priority / 変更後]]))</f>
        <v/>
      </c>
      <c r="X13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38" spans="1:24" x14ac:dyDescent="0.25">
      <c r="A138" s="20" t="s">
        <v>773</v>
      </c>
      <c r="B138" s="20" t="s">
        <v>999</v>
      </c>
      <c r="C138" s="20" t="s">
        <v>925</v>
      </c>
      <c r="D138" s="20" t="s">
        <v>926</v>
      </c>
      <c r="E138" s="20" t="s">
        <v>927</v>
      </c>
      <c r="F138" s="20" t="s">
        <v>928</v>
      </c>
      <c r="G138" s="20"/>
      <c r="H138" s="20" t="s">
        <v>999</v>
      </c>
      <c r="I138" s="21" t="s">
        <v>1002</v>
      </c>
      <c r="J138" s="21"/>
      <c r="K138" s="21"/>
      <c r="L138" s="21"/>
      <c r="M138" s="21"/>
      <c r="N138" s="21"/>
      <c r="O138" s="21" t="s">
        <v>1066</v>
      </c>
      <c r="P138" s="22" t="str">
        <f>IF(_xlfn.CONCAT(テーブル14[[#This Row],[変更種別]:[keywords / 変更]])&lt;&gt;"","","*")</f>
        <v/>
      </c>
      <c r="Q138" s="22" t="str">
        <f>IF(テーブル14[[#This Row],[変更種別]]="削除","2",IF(テーブル14[[#This Row],[_ex2]]="","1",""))</f>
        <v>2</v>
      </c>
      <c r="R138" s="22" t="str">
        <f>IF(テーブル14[[#This Row],[変更種別]]="新規","",テーブル14[[#This Row],[id]])</f>
        <v>f5628965-0430-4272-80f6-ff42f8620b44</v>
      </c>
      <c r="S138" s="22" t="str">
        <f>IF(テーブル14[[#This Row],[変更種別]]="削除",
       "",
       IF(テーブル14[[#This Row],[title / 変更]]="",テーブル14[[#This Row],[title]],テーブル14[[#This Row],[title / 変更]]))</f>
        <v/>
      </c>
      <c r="T138" s="22" t="str">
        <f>IF(テーブル14[[#This Row],[変更種別]]="削除",
       "",
       IF(テーブル14[[#This Row],[url / 変更]]="",テーブル14[[#This Row],[url]],テーブル14[[#This Row],[url / 変更]]))</f>
        <v/>
      </c>
      <c r="U138" s="22" t="str">
        <f>IF(テーブル14[[#This Row],[変更種別]]="削除",
       "",
       IF(テーブル14[[#This Row],[keywords / 変更]]="",テーブル14[[#This Row],[keywords]],テーブル14[[#This Row],[keywords / 変更]]))</f>
        <v/>
      </c>
      <c r="V138" s="22" t="str">
        <f>IF(テーブル14[[#This Row],[変更種別]]="削除",
       "",
       IF(テーブル14[[#This Row],[comment]]="","",テーブル14[[#This Row],[comment]]))</f>
        <v/>
      </c>
      <c r="W138" s="22" t="str">
        <f>IF(テーブル14[[#This Row],[変更種別]]="削除",
       "",
       IF(テーブル14[[#This Row],[priority / 変更後]]="",テーブル14[[#This Row],[priority]],テーブル14[[#This Row],[priority / 変更後]]))</f>
        <v/>
      </c>
      <c r="X13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39" spans="1:24" x14ac:dyDescent="0.25">
      <c r="A139" s="20" t="s">
        <v>773</v>
      </c>
      <c r="B139" s="20" t="s">
        <v>999</v>
      </c>
      <c r="C139" s="20" t="s">
        <v>929</v>
      </c>
      <c r="D139" s="20" t="s">
        <v>107</v>
      </c>
      <c r="E139" s="20" t="s">
        <v>108</v>
      </c>
      <c r="F139" s="20" t="s">
        <v>930</v>
      </c>
      <c r="G139" s="20"/>
      <c r="H139" s="20" t="s">
        <v>999</v>
      </c>
      <c r="I139" s="21" t="s">
        <v>1002</v>
      </c>
      <c r="J139" s="21"/>
      <c r="K139" s="21"/>
      <c r="L139" s="21"/>
      <c r="M139" s="21"/>
      <c r="N139" s="21"/>
      <c r="O139" s="21" t="s">
        <v>1067</v>
      </c>
      <c r="P139" s="22" t="str">
        <f>IF(_xlfn.CONCAT(テーブル14[[#This Row],[変更種別]:[keywords / 変更]])&lt;&gt;"","","*")</f>
        <v/>
      </c>
      <c r="Q139" s="22" t="str">
        <f>IF(テーブル14[[#This Row],[変更種別]]="削除","2",IF(テーブル14[[#This Row],[_ex2]]="","1",""))</f>
        <v>2</v>
      </c>
      <c r="R139" s="22" t="str">
        <f>IF(テーブル14[[#This Row],[変更種別]]="新規","",テーブル14[[#This Row],[id]])</f>
        <v>d787072c-1309-42db-b82d-f170c383171a</v>
      </c>
      <c r="S139" s="22" t="str">
        <f>IF(テーブル14[[#This Row],[変更種別]]="削除",
       "",
       IF(テーブル14[[#This Row],[title / 変更]]="",テーブル14[[#This Row],[title]],テーブル14[[#This Row],[title / 変更]]))</f>
        <v/>
      </c>
      <c r="T139" s="22" t="str">
        <f>IF(テーブル14[[#This Row],[変更種別]]="削除",
       "",
       IF(テーブル14[[#This Row],[url / 変更]]="",テーブル14[[#This Row],[url]],テーブル14[[#This Row],[url / 変更]]))</f>
        <v/>
      </c>
      <c r="U139" s="22" t="str">
        <f>IF(テーブル14[[#This Row],[変更種別]]="削除",
       "",
       IF(テーブル14[[#This Row],[keywords / 変更]]="",テーブル14[[#This Row],[keywords]],テーブル14[[#This Row],[keywords / 変更]]))</f>
        <v/>
      </c>
      <c r="V139" s="22" t="str">
        <f>IF(テーブル14[[#This Row],[変更種別]]="削除",
       "",
       IF(テーブル14[[#This Row],[comment]]="","",テーブル14[[#This Row],[comment]]))</f>
        <v/>
      </c>
      <c r="W139" s="22" t="str">
        <f>IF(テーブル14[[#This Row],[変更種別]]="削除",
       "",
       IF(テーブル14[[#This Row],[priority / 変更後]]="",テーブル14[[#This Row],[priority]],テーブル14[[#This Row],[priority / 変更後]]))</f>
        <v/>
      </c>
      <c r="X13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40" spans="1:24" ht="57" x14ac:dyDescent="0.25">
      <c r="A140" s="20" t="s">
        <v>773</v>
      </c>
      <c r="B140" s="20" t="s">
        <v>999</v>
      </c>
      <c r="C140" s="20" t="s">
        <v>186</v>
      </c>
      <c r="D140" s="20" t="s">
        <v>184</v>
      </c>
      <c r="E140" s="20" t="s">
        <v>185</v>
      </c>
      <c r="F140" s="20" t="s">
        <v>931</v>
      </c>
      <c r="G140" s="20"/>
      <c r="H140" s="20" t="s">
        <v>999</v>
      </c>
      <c r="I140" s="21" t="s">
        <v>975</v>
      </c>
      <c r="J140" s="21"/>
      <c r="K140" s="21"/>
      <c r="L140" s="21" t="s">
        <v>1068</v>
      </c>
      <c r="M140" s="21"/>
      <c r="N140" s="21" t="s">
        <v>1189</v>
      </c>
      <c r="O140" s="21"/>
      <c r="P140" s="22" t="str">
        <f>IF(_xlfn.CONCAT(テーブル14[[#This Row],[変更種別]:[keywords / 変更]])&lt;&gt;"","","*")</f>
        <v/>
      </c>
      <c r="Q140" s="22" t="str">
        <f>IF(テーブル14[[#This Row],[変更種別]]="削除","2",IF(テーブル14[[#This Row],[_ex2]]="","1",""))</f>
        <v>1</v>
      </c>
      <c r="R140" s="22" t="str">
        <f>IF(テーブル14[[#This Row],[変更種別]]="新規","",テーブル14[[#This Row],[id]])</f>
        <v>885d9c3e-e558-4022-9b5c-310cdc66fa52</v>
      </c>
      <c r="S140" s="22" t="str">
        <f>IF(テーブル14[[#This Row],[変更種別]]="削除",
       "",
       IF(テーブル14[[#This Row],[title / 変更]]="",テーブル14[[#This Row],[title]],テーブル14[[#This Row],[title / 変更]]))</f>
        <v>Webex Calling ヘルプサイト</v>
      </c>
      <c r="T140" s="22" t="str">
        <f>IF(テーブル14[[#This Row],[変更種別]]="削除",
       "",
       IF(テーブル14[[#This Row],[url / 変更]]="",テーブル14[[#This Row],[url]],テーブル14[[#This Row],[url / 変更]]))</f>
        <v>https://itochucorp.sharepoint.com/sites/intra-tokgv-WebexCalling</v>
      </c>
      <c r="U140" s="22" t="str">
        <f>IF(テーブル14[[#This Row],[変更種別]]="削除",
       "",
       IF(テーブル14[[#This Row],[keywords / 変更]]="",テーブル14[[#This Row],[keywords]],テーブル14[[#This Row],[keywords / 変更]]))</f>
        <v>[ "webex", "ｗｅｂｅｘ", "webexcalling", "ｗｅｂｅｘｃａｌｌｉｎｇ", "どこでも内線", "内線" ]</v>
      </c>
      <c r="V140" s="22" t="str">
        <f>IF(テーブル14[[#This Row],[変更種別]]="削除",
       "",
       IF(テーブル14[[#This Row],[comment]]="","",テーブル14[[#This Row],[comment]]))</f>
        <v/>
      </c>
      <c r="W140" s="22" t="str">
        <f>IF(テーブル14[[#This Row],[変更種別]]="削除",
       "",
       IF(テーブル14[[#This Row],[priority / 変更後]]="",テーブル14[[#This Row],[priority]],テーブル14[[#This Row],[priority / 変更後]]))</f>
        <v>1</v>
      </c>
      <c r="X14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"Webex", "WebexCalling", "WebexCalling", "どこでも内線", "内線" ]
　後: [ "webex", "ｗｅｂｅｘ", "webexcalling", "ｗｅｂｅｘｃａｌｌｉｎｇ", "どこでも内線", "内線" ]
</v>
      </c>
    </row>
    <row r="141" spans="1:24" ht="57" x14ac:dyDescent="0.25">
      <c r="A141" s="20" t="s">
        <v>773</v>
      </c>
      <c r="B141" s="20" t="s">
        <v>999</v>
      </c>
      <c r="C141" s="20" t="s">
        <v>17</v>
      </c>
      <c r="D141" s="20" t="s">
        <v>15</v>
      </c>
      <c r="E141" s="20" t="s">
        <v>16</v>
      </c>
      <c r="F141" s="20" t="s">
        <v>932</v>
      </c>
      <c r="G141" s="20"/>
      <c r="H141" s="20" t="s">
        <v>999</v>
      </c>
      <c r="I141" s="21" t="s">
        <v>975</v>
      </c>
      <c r="J141" s="21"/>
      <c r="K141" s="21"/>
      <c r="L141" s="21" t="s">
        <v>1069</v>
      </c>
      <c r="M141" s="21"/>
      <c r="N141" s="21" t="s">
        <v>1189</v>
      </c>
      <c r="O141" s="21"/>
      <c r="P141" s="22" t="str">
        <f>IF(_xlfn.CONCAT(テーブル14[[#This Row],[変更種別]:[keywords / 変更]])&lt;&gt;"","","*")</f>
        <v/>
      </c>
      <c r="Q141" s="22" t="str">
        <f>IF(テーブル14[[#This Row],[変更種別]]="削除","2",IF(テーブル14[[#This Row],[_ex2]]="","1",""))</f>
        <v>1</v>
      </c>
      <c r="R141" s="22" t="str">
        <f>IF(テーブル14[[#This Row],[変更種別]]="新規","",テーブル14[[#This Row],[id]])</f>
        <v>50947153-8073-4e01-af96-33d1efb63761</v>
      </c>
      <c r="S141" s="22" t="str">
        <f>IF(テーブル14[[#This Row],[変更種別]]="削除",
       "",
       IF(テーブル14[[#This Row],[title / 変更]]="",テーブル14[[#This Row],[title]],テーブル14[[#This Row],[title / 変更]]))</f>
        <v>申請書ポータル</v>
      </c>
      <c r="T141" s="22" t="str">
        <f>IF(テーブル14[[#This Row],[変更種別]]="削除",
       "",
       IF(テーブル14[[#This Row],[url / 変更]]="",テーブル14[[#This Row],[url]],テーブル14[[#This Row],[url / 変更]]))</f>
        <v>https://itcawpw10.itochu.co.jp/AgileWorks/Broker/PicusSSO.Agent</v>
      </c>
      <c r="U141" s="22" t="str">
        <f>IF(テーブル14[[#This Row],[変更種別]]="削除",
       "",
       IF(テーブル14[[#This Row],[keywords / 変更]]="",テーブル14[[#This Row],[keywords]],テーブル14[[#This Row],[keywords / 変更]]))</f>
        <v>[ "申請書ポータル", "agileworks", "ａｇｉｌｅｗｏｒｋｓ", "agile", "ａｇｉｌｅ" ]</v>
      </c>
      <c r="V141" s="22" t="str">
        <f>IF(テーブル14[[#This Row],[変更種別]]="削除",
       "",
       IF(テーブル14[[#This Row],[comment]]="","",テーブル14[[#This Row],[comment]]))</f>
        <v/>
      </c>
      <c r="W141" s="22" t="str">
        <f>IF(テーブル14[[#This Row],[変更種別]]="削除",
       "",
       IF(テーブル14[[#This Row],[priority / 変更後]]="",テーブル14[[#This Row],[priority]],テーブル14[[#This Row],[priority / 変更後]]))</f>
        <v>1</v>
      </c>
      <c r="X14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"申請書ポータル", "agileworks", "agile" ]
　後: [ "申請書ポータル", "agileworks", "ａｇｉｌｅｗｏｒｋｓ", "agile", "ａｇｉｌｅ" ]
</v>
      </c>
    </row>
    <row r="142" spans="1:24" ht="57" x14ac:dyDescent="0.25">
      <c r="A142" s="20" t="s">
        <v>773</v>
      </c>
      <c r="B142" s="20" t="s">
        <v>999</v>
      </c>
      <c r="C142" s="20" t="s">
        <v>14</v>
      </c>
      <c r="D142" s="20" t="s">
        <v>12</v>
      </c>
      <c r="E142" s="20" t="s">
        <v>13</v>
      </c>
      <c r="F142" s="20" t="s">
        <v>932</v>
      </c>
      <c r="G142" s="20"/>
      <c r="H142" s="20" t="s">
        <v>999</v>
      </c>
      <c r="I142" s="21" t="s">
        <v>975</v>
      </c>
      <c r="J142" s="21"/>
      <c r="K142" s="21"/>
      <c r="L142" s="21" t="s">
        <v>1069</v>
      </c>
      <c r="M142" s="21"/>
      <c r="N142" s="21" t="s">
        <v>1191</v>
      </c>
      <c r="O142" s="21"/>
      <c r="P142" s="22" t="str">
        <f>IF(_xlfn.CONCAT(テーブル14[[#This Row],[変更種別]:[keywords / 変更]])&lt;&gt;"","","*")</f>
        <v/>
      </c>
      <c r="Q142" s="22" t="str">
        <f>IF(テーブル14[[#This Row],[変更種別]]="削除","2",IF(テーブル14[[#This Row],[_ex2]]="","1",""))</f>
        <v>1</v>
      </c>
      <c r="R142" s="22" t="str">
        <f>IF(テーブル14[[#This Row],[変更種別]]="新規","",テーブル14[[#This Row],[id]])</f>
        <v>902566a9-2dd9-47c1-8063-6c7a47a59d52</v>
      </c>
      <c r="S142" s="22" t="str">
        <f>IF(テーブル14[[#This Row],[変更種別]]="削除",
       "",
       IF(テーブル14[[#This Row],[title / 変更]]="",テーブル14[[#This Row],[title]],テーブル14[[#This Row],[title / 変更]]))</f>
        <v>申請書ポータル ヘルプサイト</v>
      </c>
      <c r="T142" s="22" t="str">
        <f>IF(テーブル14[[#This Row],[変更種別]]="削除",
       "",
       IF(テーブル14[[#This Row],[url / 変更]]="",テーブル14[[#This Row],[url]],テーブル14[[#This Row],[url / 変更]]))</f>
        <v>https://itochucorp.sharepoint.com/sites/intra-tokgv-Shinseisho_Portal</v>
      </c>
      <c r="U142" s="22" t="str">
        <f>IF(テーブル14[[#This Row],[変更種別]]="削除",
       "",
       IF(テーブル14[[#This Row],[keywords / 変更]]="",テーブル14[[#This Row],[keywords]],テーブル14[[#This Row],[keywords / 変更]]))</f>
        <v>[ "申請書ポータル", "agileworks", "ａｇｉｌｅｗｏｒｋｓ", "agile", "ａｇｉｌｅ" ]</v>
      </c>
      <c r="V142" s="22" t="str">
        <f>IF(テーブル14[[#This Row],[変更種別]]="削除",
       "",
       IF(テーブル14[[#This Row],[comment]]="","",テーブル14[[#This Row],[comment]]))</f>
        <v/>
      </c>
      <c r="W142" s="22" t="str">
        <f>IF(テーブル14[[#This Row],[変更種別]]="削除",
       "",
       IF(テーブル14[[#This Row],[priority / 変更後]]="",テーブル14[[#This Row],[priority]],テーブル14[[#This Row],[priority / 変更後]]))</f>
        <v>2</v>
      </c>
      <c r="X14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"申請書ポータル", "agileworks", "agile" ]
　後: [ "申請書ポータル", "agileworks", "ａｇｉｌｅｗｏｒｋｓ", "agile", "ａｇｉｌｅ" ]
</v>
      </c>
    </row>
    <row r="143" spans="1:24" ht="99.75" x14ac:dyDescent="0.25">
      <c r="A143" s="20" t="s">
        <v>773</v>
      </c>
      <c r="B143" s="20" t="s">
        <v>999</v>
      </c>
      <c r="C143" s="20" t="s">
        <v>190</v>
      </c>
      <c r="D143" s="20" t="s">
        <v>188</v>
      </c>
      <c r="E143" s="20" t="s">
        <v>189</v>
      </c>
      <c r="F143" s="20" t="s">
        <v>1070</v>
      </c>
      <c r="G143" s="20"/>
      <c r="H143" s="20" t="s">
        <v>999</v>
      </c>
      <c r="I143" s="21" t="s">
        <v>975</v>
      </c>
      <c r="J143" s="21"/>
      <c r="K143" s="21" t="s">
        <v>1071</v>
      </c>
      <c r="L143" s="21" t="s">
        <v>1072</v>
      </c>
      <c r="M143" s="21"/>
      <c r="N143" s="21" t="s">
        <v>1189</v>
      </c>
      <c r="O143" s="21"/>
      <c r="P143" s="22" t="str">
        <f>IF(_xlfn.CONCAT(テーブル14[[#This Row],[変更種別]:[keywords / 変更]])&lt;&gt;"","","*")</f>
        <v/>
      </c>
      <c r="Q143" s="22" t="str">
        <f>IF(テーブル14[[#This Row],[変更種別]]="削除","2",IF(テーブル14[[#This Row],[_ex2]]="","1",""))</f>
        <v>1</v>
      </c>
      <c r="R143" s="22" t="str">
        <f>IF(テーブル14[[#This Row],[変更種別]]="新規","",テーブル14[[#This Row],[id]])</f>
        <v>3c11a22a-263d-4cb9-bd5d-2615ee68c0de</v>
      </c>
      <c r="S143" s="22" t="str">
        <f>IF(テーブル14[[#This Row],[変更種別]]="削除",
       "",
       IF(テーブル14[[#This Row],[title / 変更]]="",テーブル14[[#This Row],[title]],テーブル14[[#This Row],[title / 変更]]))</f>
        <v>伊藤忠社内WiFi設定</v>
      </c>
      <c r="T143" s="22" t="str">
        <f>IF(テーブル14[[#This Row],[変更種別]]="削除",
       "",
       IF(テーブル14[[#This Row],[url / 変更]]="",テーブル14[[#This Row],[url]],テーブル14[[#This Row],[url / 変更]]))</f>
        <v>https://itochucorp.sharepoint.com/sites/intra-tokgv-itochu_wifi</v>
      </c>
      <c r="U143" s="22" t="str">
        <f>IF(テーブル14[[#This Row],[変更種別]]="削除",
       "",
       IF(テーブル14[[#This Row],[keywords / 変更]]="",テーブル14[[#This Row],[keywords]],テーブル14[[#This Row],[keywords / 変更]]))</f>
        <v>[ "wifi", "ｗｉｆｉ", "wi-fi", "ｗｉ－ｆｉ" ]</v>
      </c>
      <c r="V143" s="22" t="str">
        <f>IF(テーブル14[[#This Row],[変更種別]]="削除",
       "",
       IF(テーブル14[[#This Row],[comment]]="","",テーブル14[[#This Row],[comment]]))</f>
        <v/>
      </c>
      <c r="W143" s="22" t="str">
        <f>IF(テーブル14[[#This Row],[変更種別]]="削除",
       "",
       IF(テーブル14[[#This Row],[priority / 変更後]]="",テーブル14[[#This Row],[priority]],テーブル14[[#This Row],[priority / 変更後]]))</f>
        <v>1</v>
      </c>
      <c r="X14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https://itochucorp.sharepoint.com/sites/intra-tokgv/system/SitePages/itochu_wifi.aspx
　後: https://itochucorp.sharepoint.com/sites/intra-tokgv-itochu_wifi
■ KEYWORDS
　前: [ "wifi", "wi-fi", "WiFi", "Wi-Fi" ]
　後: [ "wifi", "ｗｉｆｉ", "wi-fi", "ｗｉ－ｆｉ" ]
</v>
      </c>
    </row>
    <row r="144" spans="1:24" ht="99.75" x14ac:dyDescent="0.25">
      <c r="A144" s="20" t="s">
        <v>773</v>
      </c>
      <c r="B144" s="20" t="s">
        <v>999</v>
      </c>
      <c r="C144" s="20" t="s">
        <v>69</v>
      </c>
      <c r="D144" s="20" t="s">
        <v>67</v>
      </c>
      <c r="E144" s="20" t="s">
        <v>68</v>
      </c>
      <c r="F144" s="20" t="s">
        <v>1073</v>
      </c>
      <c r="G144" s="20"/>
      <c r="H144" s="20" t="s">
        <v>999</v>
      </c>
      <c r="I144" s="21" t="s">
        <v>975</v>
      </c>
      <c r="J144" s="21"/>
      <c r="K144" s="21" t="s">
        <v>1074</v>
      </c>
      <c r="L144" s="21" t="s">
        <v>1195</v>
      </c>
      <c r="M144" s="21"/>
      <c r="N144" s="21" t="s">
        <v>1191</v>
      </c>
      <c r="O144" s="21"/>
      <c r="P144" s="22" t="str">
        <f>IF(_xlfn.CONCAT(テーブル14[[#This Row],[変更種別]:[keywords / 変更]])&lt;&gt;"","","*")</f>
        <v/>
      </c>
      <c r="Q144" s="22" t="str">
        <f>IF(テーブル14[[#This Row],[変更種別]]="削除","2",IF(テーブル14[[#This Row],[_ex2]]="","1",""))</f>
        <v>1</v>
      </c>
      <c r="R144" s="22" t="str">
        <f>IF(テーブル14[[#This Row],[変更種別]]="新規","",テーブル14[[#This Row],[id]])</f>
        <v>83d766a9-fe4b-43da-9ff8-f7133332e29f</v>
      </c>
      <c r="S144" s="22" t="str">
        <f>IF(テーブル14[[#This Row],[変更種別]]="削除",
       "",
       IF(テーブル14[[#This Row],[title / 変更]]="",テーブル14[[#This Row],[title]],テーブル14[[#This Row],[title / 変更]]))</f>
        <v>Guest Wi-Fi（※ゲストの方のみ利用可）</v>
      </c>
      <c r="T144" s="22" t="str">
        <f>IF(テーブル14[[#This Row],[変更種別]]="削除",
       "",
       IF(テーブル14[[#This Row],[url / 変更]]="",テーブル14[[#This Row],[url]],テーブル14[[#This Row],[url / 変更]]))</f>
        <v>https://itochucorp.sharepoint.com/sites/intra-tokgv-itochu_wifi/guest_wifi/Guest_Wi-Fi_Info.pdf</v>
      </c>
      <c r="U144" s="22" t="str">
        <f>IF(テーブル14[[#This Row],[変更種別]]="削除",
       "",
       IF(テーブル14[[#This Row],[keywords / 変更]]="",テーブル14[[#This Row],[keywords]],テーブル14[[#This Row],[keywords / 変更]]))</f>
        <v>[ "wifi", "ｗｉｆｉ", "wi-fi", "ｗｉ－ｆｉ", "guestwi-fi", "ｇｕｅｓｔｗｉ－ｆｉ", "guestwifi", "ｇｕｅｓｔｗｉｆｉ", "ゲストwifi", "ゲストｗｉｆｉ" ]</v>
      </c>
      <c r="V144" s="22" t="str">
        <f>IF(テーブル14[[#This Row],[変更種別]]="削除",
       "",
       IF(テーブル14[[#This Row],[comment]]="","",テーブル14[[#This Row],[comment]]))</f>
        <v/>
      </c>
      <c r="W144" s="22" t="str">
        <f>IF(テーブル14[[#This Row],[変更種別]]="削除",
       "",
       IF(テーブル14[[#This Row],[priority / 変更後]]="",テーブル14[[#This Row],[priority]],テーブル14[[#This Row],[priority / 変更後]]))</f>
        <v>2</v>
      </c>
      <c r="X14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https://itochucorp.sharepoint.com/sites/intra-tokgv/system/guest_wifi/Guest_Wi-Fi_Info.pdf
　後: https://itochucorp.sharepoint.com/sites/intra-tokgv-itochu_wifi/guest_wifi/Guest_Wi-Fi_Info.pdf
■ KEYWORDS
　前: [ "wifi", "wi-fi", "WiFi", "Wi-Fi", "guestwifi", "GuestWi-Fi", "ゲストwifi" ]
　後: [ "wifi", "ｗｉｆｉ", "wi-fi", "ｗｉ－ｆｉ", "guestwi-fi", "ｇｕｅｓｔｗｉ－ｆｉ", "guestwifi", "ｇｕｅｓｔｗｉｆｉ", "ゲストwifi", "ゲストｗｉｆｉ" ]
</v>
      </c>
    </row>
    <row r="145" spans="1:24" ht="99.75" x14ac:dyDescent="0.25">
      <c r="A145" s="20" t="s">
        <v>773</v>
      </c>
      <c r="B145" s="20" t="s">
        <v>999</v>
      </c>
      <c r="C145" s="20" t="s">
        <v>312</v>
      </c>
      <c r="D145" s="20" t="s">
        <v>310</v>
      </c>
      <c r="E145" s="20" t="s">
        <v>311</v>
      </c>
      <c r="F145" s="20" t="s">
        <v>933</v>
      </c>
      <c r="G145" s="20"/>
      <c r="H145" s="20" t="s">
        <v>999</v>
      </c>
      <c r="I145" s="21" t="s">
        <v>975</v>
      </c>
      <c r="J145" s="21"/>
      <c r="K145" s="21" t="s">
        <v>1075</v>
      </c>
      <c r="L145" s="21" t="s">
        <v>1076</v>
      </c>
      <c r="M145" s="21"/>
      <c r="N145" s="21" t="s">
        <v>1189</v>
      </c>
      <c r="O145" s="21"/>
      <c r="P145" s="22" t="str">
        <f>IF(_xlfn.CONCAT(テーブル14[[#This Row],[変更種別]:[keywords / 変更]])&lt;&gt;"","","*")</f>
        <v/>
      </c>
      <c r="Q145" s="22" t="str">
        <f>IF(テーブル14[[#This Row],[変更種別]]="削除","2",IF(テーブル14[[#This Row],[_ex2]]="","1",""))</f>
        <v>1</v>
      </c>
      <c r="R145" s="22" t="str">
        <f>IF(テーブル14[[#This Row],[変更種別]]="新規","",テーブル14[[#This Row],[id]])</f>
        <v>c6d9f18a-e10d-403b-a630-ba5ef7911fce</v>
      </c>
      <c r="S145" s="22" t="str">
        <f>IF(テーブル14[[#This Row],[変更種別]]="削除",
       "",
       IF(テーブル14[[#This Row],[title / 変更]]="",テーブル14[[#This Row],[title]],テーブル14[[#This Row],[title / 変更]]))</f>
        <v>岡藤社長メッセージ</v>
      </c>
      <c r="T145" s="22" t="str">
        <f>IF(テーブル14[[#This Row],[変更種別]]="削除",
       "",
       IF(テーブル14[[#This Row],[url / 変更]]="",テーブル14[[#This Row],[url]],テーブル14[[#This Row],[url / 変更]]))</f>
        <v>https://itochucorp.sharepoint.com/sites/intra-messages/SitePages/MessagesFromChairman.aspx</v>
      </c>
      <c r="U145" s="22" t="str">
        <f>IF(テーブル14[[#This Row],[変更種別]]="削除",
       "",
       IF(テーブル14[[#This Row],[keywords / 変更]]="",テーブル14[[#This Row],[keywords]],テーブル14[[#This Row],[keywords / 変更]]))</f>
        <v>[ "岡藤", "岡藤会長", "岡藤会長ceo", "岡藤会長ｃｅｏ", "会長", "ceo", "ｃｅｏ", "会長ceo", "会長ｃｅｏ" ]</v>
      </c>
      <c r="V145" s="22" t="str">
        <f>IF(テーブル14[[#This Row],[変更種別]]="削除",
       "",
       IF(テーブル14[[#This Row],[comment]]="","",テーブル14[[#This Row],[comment]]))</f>
        <v/>
      </c>
      <c r="W145" s="22" t="str">
        <f>IF(テーブル14[[#This Row],[変更種別]]="削除",
       "",
       IF(テーブル14[[#This Row],[priority / 変更後]]="",テーブル14[[#This Row],[priority]],テーブル14[[#This Row],[priority / 変更後]]))</f>
        <v>1</v>
      </c>
      <c r="X14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https://itochucorp.sharepoint.com/sites/intra/SitePages/会長CEOメッセージ.aspx
　後: https://itochucorp.sharepoint.com/sites/intra-messages/SitePages/MessagesFromChairman.aspx
■ KEYWORDS
　前: [ "岡藤", "岡藤会長", "岡藤会長CEO" ]
　後: [ "岡藤", "岡藤会長", "岡藤会長ceo", "岡藤会長ｃｅｏ", "会長", "ceo", "ｃｅｏ", "会長ceo", "会長ｃｅｏ" ]
</v>
      </c>
    </row>
    <row r="146" spans="1:24" ht="99.75" x14ac:dyDescent="0.25">
      <c r="A146" s="20" t="s">
        <v>773</v>
      </c>
      <c r="B146" s="20" t="s">
        <v>999</v>
      </c>
      <c r="C146" s="20" t="s">
        <v>309</v>
      </c>
      <c r="D146" s="20" t="s">
        <v>307</v>
      </c>
      <c r="E146" s="20" t="s">
        <v>308</v>
      </c>
      <c r="F146" s="20" t="s">
        <v>933</v>
      </c>
      <c r="G146" s="20"/>
      <c r="H146" s="20" t="s">
        <v>999</v>
      </c>
      <c r="I146" s="21" t="s">
        <v>975</v>
      </c>
      <c r="J146" s="21"/>
      <c r="K146" s="21" t="s">
        <v>1077</v>
      </c>
      <c r="L146" s="21" t="s">
        <v>1076</v>
      </c>
      <c r="M146" s="21"/>
      <c r="N146" s="21" t="s">
        <v>1191</v>
      </c>
      <c r="O146" s="21"/>
      <c r="P146" s="22" t="str">
        <f>IF(_xlfn.CONCAT(テーブル14[[#This Row],[変更種別]:[keywords / 変更]])&lt;&gt;"","","*")</f>
        <v/>
      </c>
      <c r="Q146" s="22" t="str">
        <f>IF(テーブル14[[#This Row],[変更種別]]="削除","2",IF(テーブル14[[#This Row],[_ex2]]="","1",""))</f>
        <v>1</v>
      </c>
      <c r="R146" s="22" t="str">
        <f>IF(テーブル14[[#This Row],[変更種別]]="新規","",テーブル14[[#This Row],[id]])</f>
        <v>5a8e459d-b446-4f93-803a-c77fe71d3527</v>
      </c>
      <c r="S146" s="22" t="str">
        <f>IF(テーブル14[[#This Row],[変更種別]]="削除",
       "",
       IF(テーブル14[[#This Row],[title / 変更]]="",テーブル14[[#This Row],[title]],テーブル14[[#This Row],[title / 変更]]))</f>
        <v>岡藤社長トピックス</v>
      </c>
      <c r="T146" s="22" t="str">
        <f>IF(テーブル14[[#This Row],[変更種別]]="削除",
       "",
       IF(テーブル14[[#This Row],[url / 変更]]="",テーブル14[[#This Row],[url]],テーブル14[[#This Row],[url / 変更]]))</f>
        <v>https://itochucorp.sharepoint.com/sites/intra-topics/SitePages/TopicsFromChairman.aspx</v>
      </c>
      <c r="U146" s="22" t="str">
        <f>IF(テーブル14[[#This Row],[変更種別]]="削除",
       "",
       IF(テーブル14[[#This Row],[keywords / 変更]]="",テーブル14[[#This Row],[keywords]],テーブル14[[#This Row],[keywords / 変更]]))</f>
        <v>[ "岡藤", "岡藤会長", "岡藤会長ceo", "岡藤会長ｃｅｏ", "会長", "ceo", "ｃｅｏ", "会長ceo", "会長ｃｅｏ" ]</v>
      </c>
      <c r="V146" s="22" t="str">
        <f>IF(テーブル14[[#This Row],[変更種別]]="削除",
       "",
       IF(テーブル14[[#This Row],[comment]]="","",テーブル14[[#This Row],[comment]]))</f>
        <v/>
      </c>
      <c r="W146" s="22" t="str">
        <f>IF(テーブル14[[#This Row],[変更種別]]="削除",
       "",
       IF(テーブル14[[#This Row],[priority / 変更後]]="",テーブル14[[#This Row],[priority]],テーブル14[[#This Row],[priority / 変更後]]))</f>
        <v>2</v>
      </c>
      <c r="X14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https://itochucorp.sharepoint.com/sites/intra/SitePages/会長CEOトピックス.aspx
　後: https://itochucorp.sharepoint.com/sites/intra-topics/SitePages/TopicsFromChairman.aspx
■ KEYWORDS
　前: [ "岡藤", "岡藤会長", "岡藤会長CEO" ]
　後: [ "岡藤", "岡藤会長", "岡藤会長ceo", "岡藤会長ｃｅｏ", "会長", "ceo", "ｃｅｏ", "会長ceo", "会長ｃｅｏ" ]
</v>
      </c>
    </row>
    <row r="147" spans="1:24" ht="99.75" x14ac:dyDescent="0.25">
      <c r="A147" s="20" t="s">
        <v>773</v>
      </c>
      <c r="B147" s="20" t="s">
        <v>999</v>
      </c>
      <c r="C147" s="20" t="s">
        <v>315</v>
      </c>
      <c r="D147" s="20" t="s">
        <v>313</v>
      </c>
      <c r="E147" s="20" t="s">
        <v>314</v>
      </c>
      <c r="F147" s="20" t="s">
        <v>933</v>
      </c>
      <c r="G147" s="20"/>
      <c r="H147" s="20" t="s">
        <v>999</v>
      </c>
      <c r="I147" s="21" t="s">
        <v>975</v>
      </c>
      <c r="J147" s="21"/>
      <c r="K147" s="21" t="s">
        <v>1078</v>
      </c>
      <c r="L147" s="21" t="s">
        <v>1076</v>
      </c>
      <c r="M147" s="21"/>
      <c r="N147" s="21" t="s">
        <v>1192</v>
      </c>
      <c r="O147" s="21"/>
      <c r="P147" s="22" t="str">
        <f>IF(_xlfn.CONCAT(テーブル14[[#This Row],[変更種別]:[keywords / 変更]])&lt;&gt;"","","*")</f>
        <v/>
      </c>
      <c r="Q147" s="22" t="str">
        <f>IF(テーブル14[[#This Row],[変更種別]]="削除","2",IF(テーブル14[[#This Row],[_ex2]]="","1",""))</f>
        <v>1</v>
      </c>
      <c r="R147" s="22" t="str">
        <f>IF(テーブル14[[#This Row],[変更種別]]="新規","",テーブル14[[#This Row],[id]])</f>
        <v>46a0f84c-d4c1-4783-bf42-40e42e6395dc</v>
      </c>
      <c r="S147" s="22" t="str">
        <f>IF(テーブル14[[#This Row],[変更種別]]="削除",
       "",
       IF(テーブル14[[#This Row],[title / 変更]]="",テーブル14[[#This Row],[title]],テーブル14[[#This Row],[title / 変更]]))</f>
        <v xml:space="preserve">岡藤社長メッセージ（2017年度以前） </v>
      </c>
      <c r="T147" s="22" t="str">
        <f>IF(テーブル14[[#This Row],[変更種別]]="削除",
       "",
       IF(テーブル14[[#This Row],[url / 変更]]="",テーブル14[[#This Row],[url]],テーブル14[[#This Row],[url / 変更]]))</f>
        <v>https://itochucorp.sharepoint.com/sites/intra-archive/Lists/MessageFromPresident/Public2.aspx</v>
      </c>
      <c r="U147" s="22" t="str">
        <f>IF(テーブル14[[#This Row],[変更種別]]="削除",
       "",
       IF(テーブル14[[#This Row],[keywords / 変更]]="",テーブル14[[#This Row],[keywords]],テーブル14[[#This Row],[keywords / 変更]]))</f>
        <v>[ "岡藤", "岡藤会長", "岡藤会長ceo", "岡藤会長ｃｅｏ", "会長", "ceo", "ｃｅｏ", "会長ceo", "会長ｃｅｏ" ]</v>
      </c>
      <c r="V147" s="22" t="str">
        <f>IF(テーブル14[[#This Row],[変更種別]]="削除",
       "",
       IF(テーブル14[[#This Row],[comment]]="","",テーブル14[[#This Row],[comment]]))</f>
        <v/>
      </c>
      <c r="W147" s="22" t="str">
        <f>IF(テーブル14[[#This Row],[変更種別]]="削除",
       "",
       IF(テーブル14[[#This Row],[priority / 変更後]]="",テーブル14[[#This Row],[priority]],テーブル14[[#This Row],[priority / 変更後]]))</f>
        <v>3</v>
      </c>
      <c r="X14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https://itochucorp.sharepoint.com/sites/intra/SitePages/岡藤社長メッセージ（2017年度以前）.aspx
　後: https://itochucorp.sharepoint.com/sites/intra-archive/Lists/MessageFromPresident/Public2.aspx
■ KEYWORDS
　前: [ "岡藤", "岡藤会長", "岡藤会長CEO" ]
　後: [ "岡藤", "岡藤会長", "岡藤会長ceo", "岡藤会長ｃｅｏ", "会長", "ceo", "ｃｅｏ", "会長ceo", "会長ｃｅｏ" ]
</v>
      </c>
    </row>
    <row r="148" spans="1:24" x14ac:dyDescent="0.25">
      <c r="A148" s="20" t="s">
        <v>773</v>
      </c>
      <c r="B148" s="20" t="s">
        <v>999</v>
      </c>
      <c r="C148" s="20" t="s">
        <v>934</v>
      </c>
      <c r="D148" s="20" t="s">
        <v>935</v>
      </c>
      <c r="E148" s="20" t="s">
        <v>936</v>
      </c>
      <c r="F148" s="20" t="s">
        <v>933</v>
      </c>
      <c r="G148" s="20"/>
      <c r="H148" s="20" t="s">
        <v>999</v>
      </c>
      <c r="I148" s="21" t="s">
        <v>1002</v>
      </c>
      <c r="J148" s="21"/>
      <c r="K148" s="21"/>
      <c r="L148" s="21"/>
      <c r="M148" s="21"/>
      <c r="N148" s="21"/>
      <c r="O148" s="21"/>
      <c r="P148" s="22" t="str">
        <f>IF(_xlfn.CONCAT(テーブル14[[#This Row],[変更種別]:[keywords / 変更]])&lt;&gt;"","","*")</f>
        <v/>
      </c>
      <c r="Q148" s="22" t="str">
        <f>IF(テーブル14[[#This Row],[変更種別]]="削除","2",IF(テーブル14[[#This Row],[_ex2]]="","1",""))</f>
        <v>2</v>
      </c>
      <c r="R148" s="22" t="str">
        <f>IF(テーブル14[[#This Row],[変更種別]]="新規","",テーブル14[[#This Row],[id]])</f>
        <v>692f3f67-86be-4e0a-9687-3fb33b36a9a4</v>
      </c>
      <c r="S148" s="22" t="str">
        <f>IF(テーブル14[[#This Row],[変更種別]]="削除",
       "",
       IF(テーブル14[[#This Row],[title / 変更]]="",テーブル14[[#This Row],[title]],テーブル14[[#This Row],[title / 変更]]))</f>
        <v/>
      </c>
      <c r="T148" s="22" t="str">
        <f>IF(テーブル14[[#This Row],[変更種別]]="削除",
       "",
       IF(テーブル14[[#This Row],[url / 変更]]="",テーブル14[[#This Row],[url]],テーブル14[[#This Row],[url / 変更]]))</f>
        <v/>
      </c>
      <c r="U148" s="22" t="str">
        <f>IF(テーブル14[[#This Row],[変更種別]]="削除",
       "",
       IF(テーブル14[[#This Row],[keywords / 変更]]="",テーブル14[[#This Row],[keywords]],テーブル14[[#This Row],[keywords / 変更]]))</f>
        <v/>
      </c>
      <c r="V148" s="22" t="str">
        <f>IF(テーブル14[[#This Row],[変更種別]]="削除",
       "",
       IF(テーブル14[[#This Row],[comment]]="","",テーブル14[[#This Row],[comment]]))</f>
        <v/>
      </c>
      <c r="W148" s="22" t="str">
        <f>IF(テーブル14[[#This Row],[変更種別]]="削除",
       "",
       IF(テーブル14[[#This Row],[priority / 変更後]]="",テーブル14[[#This Row],[priority]],テーブル14[[#This Row],[priority / 変更後]]))</f>
        <v/>
      </c>
      <c r="X14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49" spans="1:24" x14ac:dyDescent="0.25">
      <c r="A149" s="20" t="s">
        <v>773</v>
      </c>
      <c r="B149" s="20" t="s">
        <v>999</v>
      </c>
      <c r="C149" s="20" t="s">
        <v>937</v>
      </c>
      <c r="D149" s="20" t="s">
        <v>938</v>
      </c>
      <c r="E149" s="20" t="s">
        <v>939</v>
      </c>
      <c r="F149" s="20" t="s">
        <v>933</v>
      </c>
      <c r="G149" s="20"/>
      <c r="H149" s="20" t="s">
        <v>999</v>
      </c>
      <c r="I149" s="21" t="s">
        <v>1002</v>
      </c>
      <c r="J149" s="21"/>
      <c r="K149" s="21"/>
      <c r="L149" s="21"/>
      <c r="M149" s="21"/>
      <c r="N149" s="21"/>
      <c r="O149" s="21"/>
      <c r="P149" s="22" t="str">
        <f>IF(_xlfn.CONCAT(テーブル14[[#This Row],[変更種別]:[keywords / 変更]])&lt;&gt;"","","*")</f>
        <v/>
      </c>
      <c r="Q149" s="22" t="str">
        <f>IF(テーブル14[[#This Row],[変更種別]]="削除","2",IF(テーブル14[[#This Row],[_ex2]]="","1",""))</f>
        <v>2</v>
      </c>
      <c r="R149" s="22" t="str">
        <f>IF(テーブル14[[#This Row],[変更種別]]="新規","",テーブル14[[#This Row],[id]])</f>
        <v>df214f8a-3ecb-47ed-9101-5a7572aac810</v>
      </c>
      <c r="S149" s="22" t="str">
        <f>IF(テーブル14[[#This Row],[変更種別]]="削除",
       "",
       IF(テーブル14[[#This Row],[title / 変更]]="",テーブル14[[#This Row],[title]],テーブル14[[#This Row],[title / 変更]]))</f>
        <v/>
      </c>
      <c r="T149" s="22" t="str">
        <f>IF(テーブル14[[#This Row],[変更種別]]="削除",
       "",
       IF(テーブル14[[#This Row],[url / 変更]]="",テーブル14[[#This Row],[url]],テーブル14[[#This Row],[url / 変更]]))</f>
        <v/>
      </c>
      <c r="U149" s="22" t="str">
        <f>IF(テーブル14[[#This Row],[変更種別]]="削除",
       "",
       IF(テーブル14[[#This Row],[keywords / 変更]]="",テーブル14[[#This Row],[keywords]],テーブル14[[#This Row],[keywords / 変更]]))</f>
        <v/>
      </c>
      <c r="V149" s="22" t="str">
        <f>IF(テーブル14[[#This Row],[変更種別]]="削除",
       "",
       IF(テーブル14[[#This Row],[comment]]="","",テーブル14[[#This Row],[comment]]))</f>
        <v/>
      </c>
      <c r="W149" s="22" t="str">
        <f>IF(テーブル14[[#This Row],[変更種別]]="削除",
       "",
       IF(テーブル14[[#This Row],[priority / 変更後]]="",テーブル14[[#This Row],[priority]],テーブル14[[#This Row],[priority / 変更後]]))</f>
        <v/>
      </c>
      <c r="X14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50" spans="1:24" x14ac:dyDescent="0.25">
      <c r="A150" s="20" t="s">
        <v>773</v>
      </c>
      <c r="B150" s="20" t="s">
        <v>999</v>
      </c>
      <c r="C150" s="20" t="s">
        <v>940</v>
      </c>
      <c r="D150" s="20" t="s">
        <v>941</v>
      </c>
      <c r="E150" s="20" t="s">
        <v>942</v>
      </c>
      <c r="F150" s="20" t="s">
        <v>933</v>
      </c>
      <c r="G150" s="20"/>
      <c r="H150" s="20" t="s">
        <v>999</v>
      </c>
      <c r="I150" s="21" t="s">
        <v>1002</v>
      </c>
      <c r="J150" s="21"/>
      <c r="K150" s="21"/>
      <c r="L150" s="21"/>
      <c r="M150" s="21"/>
      <c r="N150" s="21"/>
      <c r="O150" s="21"/>
      <c r="P150" s="22" t="str">
        <f>IF(_xlfn.CONCAT(テーブル14[[#This Row],[変更種別]:[keywords / 変更]])&lt;&gt;"","","*")</f>
        <v/>
      </c>
      <c r="Q150" s="22" t="str">
        <f>IF(テーブル14[[#This Row],[変更種別]]="削除","2",IF(テーブル14[[#This Row],[_ex2]]="","1",""))</f>
        <v>2</v>
      </c>
      <c r="R150" s="22" t="str">
        <f>IF(テーブル14[[#This Row],[変更種別]]="新規","",テーブル14[[#This Row],[id]])</f>
        <v>badb33c9-2478-4b06-a0bf-504a00b45bc3</v>
      </c>
      <c r="S150" s="22" t="str">
        <f>IF(テーブル14[[#This Row],[変更種別]]="削除",
       "",
       IF(テーブル14[[#This Row],[title / 変更]]="",テーブル14[[#This Row],[title]],テーブル14[[#This Row],[title / 変更]]))</f>
        <v/>
      </c>
      <c r="T150" s="22" t="str">
        <f>IF(テーブル14[[#This Row],[変更種別]]="削除",
       "",
       IF(テーブル14[[#This Row],[url / 変更]]="",テーブル14[[#This Row],[url]],テーブル14[[#This Row],[url / 変更]]))</f>
        <v/>
      </c>
      <c r="U150" s="22" t="str">
        <f>IF(テーブル14[[#This Row],[変更種別]]="削除",
       "",
       IF(テーブル14[[#This Row],[keywords / 変更]]="",テーブル14[[#This Row],[keywords]],テーブル14[[#This Row],[keywords / 変更]]))</f>
        <v/>
      </c>
      <c r="V150" s="22" t="str">
        <f>IF(テーブル14[[#This Row],[変更種別]]="削除",
       "",
       IF(テーブル14[[#This Row],[comment]]="","",テーブル14[[#This Row],[comment]]))</f>
        <v/>
      </c>
      <c r="W150" s="22" t="str">
        <f>IF(テーブル14[[#This Row],[変更種別]]="削除",
       "",
       IF(テーブル14[[#This Row],[priority / 変更後]]="",テーブル14[[#This Row],[priority]],テーブル14[[#This Row],[priority / 変更後]]))</f>
        <v/>
      </c>
      <c r="X15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51" spans="1:24" x14ac:dyDescent="0.25">
      <c r="A151" s="20" t="s">
        <v>773</v>
      </c>
      <c r="B151" s="20" t="s">
        <v>999</v>
      </c>
      <c r="C151" s="20" t="s">
        <v>943</v>
      </c>
      <c r="D151" s="20" t="s">
        <v>944</v>
      </c>
      <c r="E151" s="20" t="s">
        <v>945</v>
      </c>
      <c r="F151" s="20" t="s">
        <v>946</v>
      </c>
      <c r="G151" s="20"/>
      <c r="H151" s="20" t="s">
        <v>999</v>
      </c>
      <c r="I151" s="21" t="s">
        <v>1002</v>
      </c>
      <c r="J151" s="21"/>
      <c r="K151" s="21"/>
      <c r="L151" s="21"/>
      <c r="M151" s="21"/>
      <c r="N151" s="21"/>
      <c r="O151" s="21" t="s">
        <v>1008</v>
      </c>
      <c r="P151" s="22" t="str">
        <f>IF(_xlfn.CONCAT(テーブル14[[#This Row],[変更種別]:[keywords / 変更]])&lt;&gt;"","","*")</f>
        <v/>
      </c>
      <c r="Q151" s="22" t="str">
        <f>IF(テーブル14[[#This Row],[変更種別]]="削除","2",IF(テーブル14[[#This Row],[_ex2]]="","1",""))</f>
        <v>2</v>
      </c>
      <c r="R151" s="22" t="str">
        <f>IF(テーブル14[[#This Row],[変更種別]]="新規","",テーブル14[[#This Row],[id]])</f>
        <v>8ca8a20d-5e44-402e-a56b-530a5f8ede87</v>
      </c>
      <c r="S151" s="22" t="str">
        <f>IF(テーブル14[[#This Row],[変更種別]]="削除",
       "",
       IF(テーブル14[[#This Row],[title / 変更]]="",テーブル14[[#This Row],[title]],テーブル14[[#This Row],[title / 変更]]))</f>
        <v/>
      </c>
      <c r="T151" s="22" t="str">
        <f>IF(テーブル14[[#This Row],[変更種別]]="削除",
       "",
       IF(テーブル14[[#This Row],[url / 変更]]="",テーブル14[[#This Row],[url]],テーブル14[[#This Row],[url / 変更]]))</f>
        <v/>
      </c>
      <c r="U151" s="22" t="str">
        <f>IF(テーブル14[[#This Row],[変更種別]]="削除",
       "",
       IF(テーブル14[[#This Row],[keywords / 変更]]="",テーブル14[[#This Row],[keywords]],テーブル14[[#This Row],[keywords / 変更]]))</f>
        <v/>
      </c>
      <c r="V151" s="22" t="str">
        <f>IF(テーブル14[[#This Row],[変更種別]]="削除",
       "",
       IF(テーブル14[[#This Row],[comment]]="","",テーブル14[[#This Row],[comment]]))</f>
        <v/>
      </c>
      <c r="W151" s="22" t="str">
        <f>IF(テーブル14[[#This Row],[変更種別]]="削除",
       "",
       IF(テーブル14[[#This Row],[priority / 変更後]]="",テーブル14[[#This Row],[priority]],テーブル14[[#This Row],[priority / 変更後]]))</f>
        <v/>
      </c>
      <c r="X15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52" spans="1:24" ht="57" x14ac:dyDescent="0.25">
      <c r="A152" s="20" t="s">
        <v>773</v>
      </c>
      <c r="B152" s="20" t="s">
        <v>999</v>
      </c>
      <c r="C152" s="20" t="s">
        <v>148</v>
      </c>
      <c r="D152" s="20" t="s">
        <v>146</v>
      </c>
      <c r="E152" s="20" t="s">
        <v>147</v>
      </c>
      <c r="F152" s="20" t="s">
        <v>947</v>
      </c>
      <c r="G152" s="20"/>
      <c r="H152" s="20" t="s">
        <v>999</v>
      </c>
      <c r="I152" s="21" t="s">
        <v>975</v>
      </c>
      <c r="J152" s="21"/>
      <c r="K152" s="21"/>
      <c r="L152" s="21" t="s">
        <v>1079</v>
      </c>
      <c r="M152" s="21"/>
      <c r="N152" s="21" t="s">
        <v>1189</v>
      </c>
      <c r="O152" s="21"/>
      <c r="P152" s="22" t="str">
        <f>IF(_xlfn.CONCAT(テーブル14[[#This Row],[変更種別]:[keywords / 変更]])&lt;&gt;"","","*")</f>
        <v/>
      </c>
      <c r="Q152" s="22" t="str">
        <f>IF(テーブル14[[#This Row],[変更種別]]="削除","2",IF(テーブル14[[#This Row],[_ex2]]="","1",""))</f>
        <v>1</v>
      </c>
      <c r="R152" s="22" t="str">
        <f>IF(テーブル14[[#This Row],[変更種別]]="新規","",テーブル14[[#This Row],[id]])</f>
        <v>466a0899-f526-4a0b-851b-e9126a7ef4df</v>
      </c>
      <c r="S152" s="22" t="str">
        <f>IF(テーブル14[[#This Row],[変更種別]]="削除",
       "",
       IF(テーブル14[[#This Row],[title / 変更]]="",テーブル14[[#This Row],[title]],テーブル14[[#This Row],[title / 変更]]))</f>
        <v>SPAIS ヘルプサイト（※RVは、SPAISに移行しました。）</v>
      </c>
      <c r="T152" s="22" t="str">
        <f>IF(テーブル14[[#This Row],[変更種別]]="削除",
       "",
       IF(テーブル14[[#This Row],[url / 変更]]="",テーブル14[[#This Row],[url]],テーブル14[[#This Row],[url / 変更]]))</f>
        <v>https://itochucorp.sharepoint.com/sites/intra-tokgv-spais/SitePages/TopPage.aspx</v>
      </c>
      <c r="U152" s="22" t="str">
        <f>IF(テーブル14[[#This Row],[変更種別]]="削除",
       "",
       IF(テーブル14[[#This Row],[keywords / 変更]]="",テーブル14[[#This Row],[keywords]],テーブル14[[#This Row],[keywords / 変更]]))</f>
        <v>[ "spais", "ｓｐａｉｓ", "rv", "ｒｖ", "電子帳票", "オンデマンド印刷", "帳票web配信", "帳票ｗｅｂ配信" ]</v>
      </c>
      <c r="V152" s="22" t="str">
        <f>IF(テーブル14[[#This Row],[変更種別]]="削除",
       "",
       IF(テーブル14[[#This Row],[comment]]="","",テーブル14[[#This Row],[comment]]))</f>
        <v/>
      </c>
      <c r="W152" s="22" t="str">
        <f>IF(テーブル14[[#This Row],[変更種別]]="削除",
       "",
       IF(テーブル14[[#This Row],[priority / 変更後]]="",テーブル14[[#This Row],[priority]],テーブル14[[#This Row],[priority / 変更後]]))</f>
        <v>1</v>
      </c>
      <c r="X15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"spais", "SPAIS", "rv", "RV", "電子帳票", "オンデマンド印刷", "帳票WEB配信" ]
　後: [ "spais", "ｓｐａｉｓ", "rv", "ｒｖ", "電子帳票", "オンデマンド印刷", "帳票web配信", "帳票ｗｅｂ配信" ]
</v>
      </c>
    </row>
    <row r="153" spans="1:24" x14ac:dyDescent="0.25">
      <c r="A153" s="20" t="s">
        <v>773</v>
      </c>
      <c r="B153" s="20" t="s">
        <v>999</v>
      </c>
      <c r="C153" s="20" t="s">
        <v>302</v>
      </c>
      <c r="D153" s="20" t="s">
        <v>300</v>
      </c>
      <c r="E153" s="20" t="s">
        <v>301</v>
      </c>
      <c r="F153" s="20" t="s">
        <v>948</v>
      </c>
      <c r="G153" s="20"/>
      <c r="H153" s="20" t="s">
        <v>999</v>
      </c>
      <c r="I153" s="21"/>
      <c r="J153" s="21"/>
      <c r="K153" s="21"/>
      <c r="L153" s="21"/>
      <c r="M153" s="21"/>
      <c r="N153" s="21" t="s">
        <v>1189</v>
      </c>
      <c r="O153" s="21"/>
      <c r="P153" s="22" t="str">
        <f>IF(_xlfn.CONCAT(テーブル14[[#This Row],[変更種別]:[keywords / 変更]])&lt;&gt;"","","*")</f>
        <v>*</v>
      </c>
      <c r="Q153" s="22" t="str">
        <f>IF(テーブル14[[#This Row],[変更種別]]="削除","2",IF(テーブル14[[#This Row],[_ex2]]="","1",""))</f>
        <v/>
      </c>
      <c r="R153" s="22" t="str">
        <f>IF(テーブル14[[#This Row],[変更種別]]="新規","",テーブル14[[#This Row],[id]])</f>
        <v>55e4565f-19f9-45d8-a025-85a28e3ce366</v>
      </c>
      <c r="S153" s="22" t="str">
        <f>IF(テーブル14[[#This Row],[変更種別]]="削除",
       "",
       IF(テーブル14[[#This Row],[title / 変更]]="",テーブル14[[#This Row],[title]],テーブル14[[#This Row],[title / 変更]]))</f>
        <v>育児関連</v>
      </c>
      <c r="T153" s="22" t="str">
        <f>IF(テーブル14[[#This Row],[変更種別]]="削除",
       "",
       IF(テーブル14[[#This Row],[url / 変更]]="",テーブル14[[#This Row],[url]],テーブル14[[#This Row],[url / 変更]]))</f>
        <v>https://itochucorp.sharepoint.com/sites/intra-tokpj_hr-child_support/SitePages/TopPage.aspx</v>
      </c>
      <c r="U153" s="22" t="str">
        <f>IF(テーブル14[[#This Row],[変更種別]]="削除",
       "",
       IF(テーブル14[[#This Row],[keywords / 変更]]="",テーブル14[[#This Row],[keywords]],テーブル14[[#This Row],[keywords / 変更]]))</f>
        <v>[ "育児", "妊娠", "出産" ]</v>
      </c>
      <c r="V153" s="22" t="str">
        <f>IF(テーブル14[[#This Row],[変更種別]]="削除",
       "",
       IF(テーブル14[[#This Row],[comment]]="","",テーブル14[[#This Row],[comment]]))</f>
        <v/>
      </c>
      <c r="W153" s="22" t="str">
        <f>IF(テーブル14[[#This Row],[変更種別]]="削除",
       "",
       IF(テーブル14[[#This Row],[priority / 変更後]]="",テーブル14[[#This Row],[priority]],テーブル14[[#This Row],[priority / 変更後]]))</f>
        <v>1</v>
      </c>
      <c r="X15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54" spans="1:24" ht="57" x14ac:dyDescent="0.25">
      <c r="A154" s="20" t="s">
        <v>773</v>
      </c>
      <c r="B154" s="20" t="s">
        <v>999</v>
      </c>
      <c r="C154" s="20" t="s">
        <v>949</v>
      </c>
      <c r="D154" s="20" t="s">
        <v>338</v>
      </c>
      <c r="E154" s="20" t="s">
        <v>339</v>
      </c>
      <c r="F154" s="20" t="s">
        <v>950</v>
      </c>
      <c r="G154" s="20"/>
      <c r="H154" s="20" t="s">
        <v>999</v>
      </c>
      <c r="I154" s="21" t="s">
        <v>975</v>
      </c>
      <c r="J154" s="21"/>
      <c r="K154" s="21"/>
      <c r="L154" s="21" t="s">
        <v>1080</v>
      </c>
      <c r="M154" s="21"/>
      <c r="N154" s="21" t="s">
        <v>1189</v>
      </c>
      <c r="O154" s="21"/>
      <c r="P154" s="22" t="str">
        <f>IF(_xlfn.CONCAT(テーブル14[[#This Row],[変更種別]:[keywords / 変更]])&lt;&gt;"","","*")</f>
        <v/>
      </c>
      <c r="Q154" s="22" t="str">
        <f>IF(テーブル14[[#This Row],[変更種別]]="削除","2",IF(テーブル14[[#This Row],[_ex2]]="","1",""))</f>
        <v>1</v>
      </c>
      <c r="R154" s="22" t="str">
        <f>IF(テーブル14[[#This Row],[変更種別]]="新規","",テーブル14[[#This Row],[id]])</f>
        <v>c75e53d1-69ab-4f33-ab4e-37bf4e9eb5e5</v>
      </c>
      <c r="S154" s="22" t="str">
        <f>IF(テーブル14[[#This Row],[変更種別]]="削除",
       "",
       IF(テーブル14[[#This Row],[title / 変更]]="",テーブル14[[#This Row],[title]],テーブル14[[#This Row],[title / 変更]]))</f>
        <v>事業会社概況表 サイト</v>
      </c>
      <c r="T154" s="22" t="str">
        <f>IF(テーブル14[[#This Row],[変更種別]]="削除",
       "",
       IF(テーブル14[[#This Row],[url / 変更]]="",テーブル14[[#This Row],[url]],テーブル14[[#This Row],[url / 変更]]))</f>
        <v>https://itcja01.itochu.co.jp/gaikyo/</v>
      </c>
      <c r="U154" s="22" t="str">
        <f>IF(テーブル14[[#This Row],[変更種別]]="削除",
       "",
       IF(テーブル14[[#This Row],[keywords / 変更]]="",テーブル14[[#This Row],[keywords]],テーブル14[[#This Row],[keywords / 変更]]))</f>
        <v>[ "概況表", "事業会社概況表", "事業会社区分", "分身会社", "統合会社コード" ]</v>
      </c>
      <c r="V154" s="22" t="str">
        <f>IF(テーブル14[[#This Row],[変更種別]]="削除",
       "",
       IF(テーブル14[[#This Row],[comment]]="","",テーブル14[[#This Row],[comment]]))</f>
        <v/>
      </c>
      <c r="W154" s="22" t="str">
        <f>IF(テーブル14[[#This Row],[変更種別]]="削除",
       "",
       IF(テーブル14[[#This Row],[priority / 変更後]]="",テーブル14[[#This Row],[priority]],テーブル14[[#This Row],[priority / 変更後]]))</f>
        <v>1</v>
      </c>
      <c r="X15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"概況表", "事業会社概況表", "事業会社区分", "分身会社" ]
　後: [ "概況表", "事業会社概況表", "事業会社区分", "分身会社", "統合会社コード" ]
</v>
      </c>
    </row>
    <row r="155" spans="1:24" x14ac:dyDescent="0.25">
      <c r="A155" s="20" t="s">
        <v>773</v>
      </c>
      <c r="B155" s="20" t="s">
        <v>999</v>
      </c>
      <c r="C155" s="20" t="s">
        <v>951</v>
      </c>
      <c r="D155" s="20" t="s">
        <v>952</v>
      </c>
      <c r="E155" s="20" t="s">
        <v>1081</v>
      </c>
      <c r="F155" s="20" t="s">
        <v>953</v>
      </c>
      <c r="G155" s="20"/>
      <c r="H155" s="20" t="s">
        <v>999</v>
      </c>
      <c r="I155" s="21" t="s">
        <v>1002</v>
      </c>
      <c r="J155" s="21"/>
      <c r="K155" s="21"/>
      <c r="L155" s="21"/>
      <c r="M155" s="21"/>
      <c r="N155" s="21"/>
      <c r="O155" s="21" t="s">
        <v>1008</v>
      </c>
      <c r="P155" s="22" t="str">
        <f>IF(_xlfn.CONCAT(テーブル14[[#This Row],[変更種別]:[keywords / 変更]])&lt;&gt;"","","*")</f>
        <v/>
      </c>
      <c r="Q155" s="22" t="str">
        <f>IF(テーブル14[[#This Row],[変更種別]]="削除","2",IF(テーブル14[[#This Row],[_ex2]]="","1",""))</f>
        <v>2</v>
      </c>
      <c r="R155" s="22" t="str">
        <f>IF(テーブル14[[#This Row],[変更種別]]="新規","",テーブル14[[#This Row],[id]])</f>
        <v>66777994-40f5-47ee-a1c6-b41be39021a8</v>
      </c>
      <c r="S155" s="22" t="str">
        <f>IF(テーブル14[[#This Row],[変更種別]]="削除",
       "",
       IF(テーブル14[[#This Row],[title / 変更]]="",テーブル14[[#This Row],[title]],テーブル14[[#This Row],[title / 変更]]))</f>
        <v/>
      </c>
      <c r="T155" s="22" t="str">
        <f>IF(テーブル14[[#This Row],[変更種別]]="削除",
       "",
       IF(テーブル14[[#This Row],[url / 変更]]="",テーブル14[[#This Row],[url]],テーブル14[[#This Row],[url / 変更]]))</f>
        <v/>
      </c>
      <c r="U155" s="22" t="str">
        <f>IF(テーブル14[[#This Row],[変更種別]]="削除",
       "",
       IF(テーブル14[[#This Row],[keywords / 変更]]="",テーブル14[[#This Row],[keywords]],テーブル14[[#This Row],[keywords / 変更]]))</f>
        <v/>
      </c>
      <c r="V155" s="22" t="str">
        <f>IF(テーブル14[[#This Row],[変更種別]]="削除",
       "",
       IF(テーブル14[[#This Row],[comment]]="","",テーブル14[[#This Row],[comment]]))</f>
        <v/>
      </c>
      <c r="W155" s="22" t="str">
        <f>IF(テーブル14[[#This Row],[変更種別]]="削除",
       "",
       IF(テーブル14[[#This Row],[priority / 変更後]]="",テーブル14[[#This Row],[priority]],テーブル14[[#This Row],[priority / 変更後]]))</f>
        <v/>
      </c>
      <c r="X15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56" spans="1:24" x14ac:dyDescent="0.25">
      <c r="A156" s="20" t="s">
        <v>773</v>
      </c>
      <c r="B156" s="20" t="s">
        <v>999</v>
      </c>
      <c r="C156" s="20" t="s">
        <v>592</v>
      </c>
      <c r="D156" s="20" t="s">
        <v>590</v>
      </c>
      <c r="E156" s="20" t="s">
        <v>591</v>
      </c>
      <c r="F156" s="20" t="s">
        <v>954</v>
      </c>
      <c r="G156" s="20"/>
      <c r="H156" s="20" t="s">
        <v>999</v>
      </c>
      <c r="I156" s="21"/>
      <c r="J156" s="21"/>
      <c r="K156" s="21"/>
      <c r="L156" s="21"/>
      <c r="M156" s="21"/>
      <c r="N156" s="21" t="s">
        <v>1189</v>
      </c>
      <c r="O156" s="21"/>
      <c r="P156" s="22" t="str">
        <f>IF(_xlfn.CONCAT(テーブル14[[#This Row],[変更種別]:[keywords / 変更]])&lt;&gt;"","","*")</f>
        <v>*</v>
      </c>
      <c r="Q156" s="22" t="str">
        <f>IF(テーブル14[[#This Row],[変更種別]]="削除","2",IF(テーブル14[[#This Row],[_ex2]]="","1",""))</f>
        <v/>
      </c>
      <c r="R156" s="22" t="str">
        <f>IF(テーブル14[[#This Row],[変更種別]]="新規","",テーブル14[[#This Row],[id]])</f>
        <v>8e65457b-9bdf-45a3-a338-b68a767c06fe</v>
      </c>
      <c r="S156" s="22" t="str">
        <f>IF(テーブル14[[#This Row],[変更種別]]="削除",
       "",
       IF(テーブル14[[#This Row],[title / 変更]]="",テーブル14[[#This Row],[title]],テーブル14[[#This Row],[title / 変更]]))</f>
        <v>反社システム</v>
      </c>
      <c r="T156" s="22" t="str">
        <f>IF(テーブル14[[#This Row],[変更種別]]="削除",
       "",
       IF(テーブル14[[#This Row],[url / 変更]]="",テーブル14[[#This Row],[url]],テーブル14[[#This Row],[url / 変更]]))</f>
        <v>https://itochucorp.sharepoint.com/sites/intra-tokpj_ga/Shared%20Documents/hansha/hanshatsuuchi.pdf</v>
      </c>
      <c r="U156" s="22" t="str">
        <f>IF(テーブル14[[#This Row],[変更種別]]="削除",
       "",
       IF(テーブル14[[#This Row],[keywords / 変更]]="",テーブル14[[#This Row],[keywords]],テーブル14[[#This Row],[keywords / 変更]]))</f>
        <v>[ "反社チェック", "反社システム", "反社" ]</v>
      </c>
      <c r="V156" s="22" t="str">
        <f>IF(テーブル14[[#This Row],[変更種別]]="削除",
       "",
       IF(テーブル14[[#This Row],[comment]]="","",テーブル14[[#This Row],[comment]]))</f>
        <v/>
      </c>
      <c r="W156" s="22" t="str">
        <f>IF(テーブル14[[#This Row],[変更種別]]="削除",
       "",
       IF(テーブル14[[#This Row],[priority / 変更後]]="",テーブル14[[#This Row],[priority]],テーブル14[[#This Row],[priority / 変更後]]))</f>
        <v>1</v>
      </c>
      <c r="X15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57" spans="1:24" ht="57" x14ac:dyDescent="0.25">
      <c r="A157" s="20" t="s">
        <v>773</v>
      </c>
      <c r="B157" s="20" t="s">
        <v>999</v>
      </c>
      <c r="C157" s="20" t="s">
        <v>538</v>
      </c>
      <c r="D157" s="20" t="s">
        <v>536</v>
      </c>
      <c r="E157" s="20" t="s">
        <v>537</v>
      </c>
      <c r="F157" s="20" t="s">
        <v>955</v>
      </c>
      <c r="G157" s="20"/>
      <c r="H157" s="20" t="s">
        <v>999</v>
      </c>
      <c r="I157" s="21" t="s">
        <v>1181</v>
      </c>
      <c r="J157" s="21"/>
      <c r="K157" s="21"/>
      <c r="L157" s="21" t="s">
        <v>1196</v>
      </c>
      <c r="M157" s="21"/>
      <c r="N157" s="21" t="s">
        <v>1189</v>
      </c>
      <c r="O157" s="21"/>
      <c r="P157" s="22" t="str">
        <f>IF(_xlfn.CONCAT(テーブル14[[#This Row],[変更種別]:[keywords / 変更]])&lt;&gt;"","","*")</f>
        <v/>
      </c>
      <c r="Q157" s="22" t="str">
        <f>IF(テーブル14[[#This Row],[変更種別]]="削除","2",IF(テーブル14[[#This Row],[_ex2]]="","1",""))</f>
        <v>1</v>
      </c>
      <c r="R157" s="22" t="str">
        <f>IF(テーブル14[[#This Row],[変更種別]]="新規","",テーブル14[[#This Row],[id]])</f>
        <v>c389716a-b07e-4a60-bbef-b3839dbd3057</v>
      </c>
      <c r="S157" s="22" t="str">
        <f>IF(テーブル14[[#This Row],[変更種別]]="削除",
       "",
       IF(テーブル14[[#This Row],[title / 変更]]="",テーブル14[[#This Row],[title]],テーブル14[[#This Row],[title / 変更]]))</f>
        <v>動画配信システム</v>
      </c>
      <c r="T157" s="22" t="str">
        <f>IF(テーブル14[[#This Row],[変更種別]]="削除",
       "",
       IF(テーブル14[[#This Row],[url / 変更]]="",テーブル14[[#This Row],[url]],テーブル14[[#This Row],[url / 変更]]))</f>
        <v>https://video.itochu.co.jp/Lists/MovieList002/AllItems.aspx</v>
      </c>
      <c r="U157" s="22" t="str">
        <f>IF(テーブル14[[#This Row],[変更種別]]="削除",
       "",
       IF(テーブル14[[#This Row],[keywords / 変更]]="",テーブル14[[#This Row],[keywords]],テーブル14[[#This Row],[keywords / 変更]]))</f>
        <v>[ "朝活セミナー", "朝活", "動画配信", "動画配信システム" ]</v>
      </c>
      <c r="V157" s="22" t="str">
        <f>IF(テーブル14[[#This Row],[変更種別]]="削除",
       "",
       IF(テーブル14[[#This Row],[comment]]="","",テーブル14[[#This Row],[comment]]))</f>
        <v/>
      </c>
      <c r="W157" s="22" t="str">
        <f>IF(テーブル14[[#This Row],[変更種別]]="削除",
       "",
       IF(テーブル14[[#This Row],[priority / 変更後]]="",テーブル14[[#This Row],[priority]],テーブル14[[#This Row],[priority / 変更後]]))</f>
        <v>1</v>
      </c>
      <c r="X15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"朝活セミナー", "朝活" ]
　後: [ "朝活セミナー", "朝活", "動画配信", "動画配信システム" ]
</v>
      </c>
    </row>
    <row r="158" spans="1:24" ht="57" x14ac:dyDescent="0.25">
      <c r="A158" s="20" t="s">
        <v>773</v>
      </c>
      <c r="B158" s="20" t="s">
        <v>999</v>
      </c>
      <c r="C158" s="20" t="s">
        <v>160</v>
      </c>
      <c r="D158" s="20" t="s">
        <v>158</v>
      </c>
      <c r="E158" s="20" t="s">
        <v>159</v>
      </c>
      <c r="F158" s="20" t="s">
        <v>956</v>
      </c>
      <c r="G158" s="20"/>
      <c r="H158" s="20" t="s">
        <v>999</v>
      </c>
      <c r="I158" s="21" t="s">
        <v>975</v>
      </c>
      <c r="J158" s="21"/>
      <c r="K158" s="21"/>
      <c r="L158" s="21" t="s">
        <v>1082</v>
      </c>
      <c r="M158" s="21"/>
      <c r="N158" s="21" t="s">
        <v>1189</v>
      </c>
      <c r="O158" s="21"/>
      <c r="P158" s="22" t="str">
        <f>IF(_xlfn.CONCAT(テーブル14[[#This Row],[変更種別]:[keywords / 変更]])&lt;&gt;"","","*")</f>
        <v/>
      </c>
      <c r="Q158" s="22" t="str">
        <f>IF(テーブル14[[#This Row],[変更種別]]="削除","2",IF(テーブル14[[#This Row],[_ex2]]="","1",""))</f>
        <v>1</v>
      </c>
      <c r="R158" s="22" t="str">
        <f>IF(テーブル14[[#This Row],[変更種別]]="新規","",テーブル14[[#This Row],[id]])</f>
        <v>8245b6c4-7a52-48b2-9dd4-935e5a991f8a</v>
      </c>
      <c r="S158" s="22" t="str">
        <f>IF(テーブル14[[#This Row],[変更種別]]="削除",
       "",
       IF(テーブル14[[#This Row],[title / 変更]]="",テーブル14[[#This Row],[title]],テーブル14[[#This Row],[title / 変更]]))</f>
        <v>SkyPDF</v>
      </c>
      <c r="T158" s="22" t="str">
        <f>IF(テーブル14[[#This Row],[変更種別]]="削除",
       "",
       IF(テーブル14[[#This Row],[url / 変更]]="",テーブル14[[#This Row],[url]],テーブル14[[#This Row],[url / 変更]]))</f>
        <v>https://itochucorp.sharepoint.com/sites/intra-tokgv-SkyPDF</v>
      </c>
      <c r="U158" s="22" t="str">
        <f>IF(テーブル14[[#This Row],[変更種別]]="削除",
       "",
       IF(テーブル14[[#This Row],[keywords / 変更]]="",テーブル14[[#This Row],[keywords]],テーブル14[[#This Row],[keywords / 変更]]))</f>
        <v>[ "skypdf", "ｓｋｙｐｄｆ", "スカイpdf", "スカイｐｄｆ" ]</v>
      </c>
      <c r="V158" s="22" t="str">
        <f>IF(テーブル14[[#This Row],[変更種別]]="削除",
       "",
       IF(テーブル14[[#This Row],[comment]]="","",テーブル14[[#This Row],[comment]]))</f>
        <v/>
      </c>
      <c r="W158" s="22" t="str">
        <f>IF(テーブル14[[#This Row],[変更種別]]="削除",
       "",
       IF(テーブル14[[#This Row],[priority / 変更後]]="",テーブル14[[#This Row],[priority]],テーブル14[[#This Row],[priority / 変更後]]))</f>
        <v>1</v>
      </c>
      <c r="X15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"SkyPDF", "Skypdf", "skypdf", "スカイpdf" ]
　後: [ "skypdf", "ｓｋｙｐｄｆ", "スカイpdf", "スカイｐｄｆ" ]
</v>
      </c>
    </row>
    <row r="159" spans="1:24" x14ac:dyDescent="0.25">
      <c r="A159" s="20" t="s">
        <v>773</v>
      </c>
      <c r="B159" s="20" t="s">
        <v>999</v>
      </c>
      <c r="C159" s="20" t="s">
        <v>957</v>
      </c>
      <c r="D159" s="20" t="s">
        <v>958</v>
      </c>
      <c r="E159" s="20" t="s">
        <v>959</v>
      </c>
      <c r="F159" s="20" t="s">
        <v>928</v>
      </c>
      <c r="G159" s="20"/>
      <c r="H159" s="20" t="s">
        <v>999</v>
      </c>
      <c r="I159" s="21" t="s">
        <v>1002</v>
      </c>
      <c r="J159" s="21"/>
      <c r="K159" s="21"/>
      <c r="L159" s="21"/>
      <c r="M159" s="21"/>
      <c r="N159" s="21"/>
      <c r="O159" s="21" t="s">
        <v>1083</v>
      </c>
      <c r="P159" s="22" t="str">
        <f>IF(_xlfn.CONCAT(テーブル14[[#This Row],[変更種別]:[keywords / 変更]])&lt;&gt;"","","*")</f>
        <v/>
      </c>
      <c r="Q159" s="22" t="str">
        <f>IF(テーブル14[[#This Row],[変更種別]]="削除","2",IF(テーブル14[[#This Row],[_ex2]]="","1",""))</f>
        <v>2</v>
      </c>
      <c r="R159" s="22" t="str">
        <f>IF(テーブル14[[#This Row],[変更種別]]="新規","",テーブル14[[#This Row],[id]])</f>
        <v>f3d5c265-abd3-4c78-a486-def618b889aa</v>
      </c>
      <c r="S159" s="22" t="str">
        <f>IF(テーブル14[[#This Row],[変更種別]]="削除",
       "",
       IF(テーブル14[[#This Row],[title / 変更]]="",テーブル14[[#This Row],[title]],テーブル14[[#This Row],[title / 変更]]))</f>
        <v/>
      </c>
      <c r="T159" s="22" t="str">
        <f>IF(テーブル14[[#This Row],[変更種別]]="削除",
       "",
       IF(テーブル14[[#This Row],[url / 変更]]="",テーブル14[[#This Row],[url]],テーブル14[[#This Row],[url / 変更]]))</f>
        <v/>
      </c>
      <c r="U159" s="22" t="str">
        <f>IF(テーブル14[[#This Row],[変更種別]]="削除",
       "",
       IF(テーブル14[[#This Row],[keywords / 変更]]="",テーブル14[[#This Row],[keywords]],テーブル14[[#This Row],[keywords / 変更]]))</f>
        <v/>
      </c>
      <c r="V159" s="22" t="str">
        <f>IF(テーブル14[[#This Row],[変更種別]]="削除",
       "",
       IF(テーブル14[[#This Row],[comment]]="","",テーブル14[[#This Row],[comment]]))</f>
        <v/>
      </c>
      <c r="W159" s="22" t="str">
        <f>IF(テーブル14[[#This Row],[変更種別]]="削除",
       "",
       IF(テーブル14[[#This Row],[priority / 変更後]]="",テーブル14[[#This Row],[priority]],テーブル14[[#This Row],[priority / 変更後]]))</f>
        <v/>
      </c>
      <c r="X15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60" spans="1:24" ht="57" x14ac:dyDescent="0.25">
      <c r="A160" s="20" t="s">
        <v>773</v>
      </c>
      <c r="B160" s="20" t="s">
        <v>999</v>
      </c>
      <c r="C160" s="20" t="s">
        <v>39</v>
      </c>
      <c r="D160" s="20" t="s">
        <v>37</v>
      </c>
      <c r="E160" s="20" t="s">
        <v>38</v>
      </c>
      <c r="F160" s="20" t="s">
        <v>960</v>
      </c>
      <c r="G160" s="20"/>
      <c r="H160" s="20" t="s">
        <v>999</v>
      </c>
      <c r="I160" s="21" t="s">
        <v>975</v>
      </c>
      <c r="J160" s="21"/>
      <c r="K160" s="21"/>
      <c r="L160" s="21" t="s">
        <v>1084</v>
      </c>
      <c r="M160" s="21"/>
      <c r="N160" s="21" t="s">
        <v>1189</v>
      </c>
      <c r="O160" s="21"/>
      <c r="P160" s="22" t="str">
        <f>IF(_xlfn.CONCAT(テーブル14[[#This Row],[変更種別]:[keywords / 変更]])&lt;&gt;"","","*")</f>
        <v/>
      </c>
      <c r="Q160" s="22" t="str">
        <f>IF(テーブル14[[#This Row],[変更種別]]="削除","2",IF(テーブル14[[#This Row],[_ex2]]="","1",""))</f>
        <v>1</v>
      </c>
      <c r="R160" s="22" t="str">
        <f>IF(テーブル14[[#This Row],[変更種別]]="新規","",テーブル14[[#This Row],[id]])</f>
        <v>c18d8a3c-6b5e-48bc-a9cd-bdb9b9ece6c4</v>
      </c>
      <c r="S160" s="22" t="str">
        <f>IF(テーブル14[[#This Row],[変更種別]]="削除",
       "",
       IF(テーブル14[[#This Row],[title / 変更]]="",テーブル14[[#This Row],[title]],テーブル14[[#This Row],[title / 変更]]))</f>
        <v>DocuSign</v>
      </c>
      <c r="T160" s="22" t="str">
        <f>IF(テーブル14[[#This Row],[変更種別]]="削除",
       "",
       IF(テーブル14[[#This Row],[url / 変更]]="",テーブル14[[#This Row],[url]],テーブル14[[#This Row],[url / 変更]]))</f>
        <v>https://itochucorp.sharepoint.com/sites/intra-tokgv-DocuSign</v>
      </c>
      <c r="U160" s="22" t="str">
        <f>IF(テーブル14[[#This Row],[変更種別]]="削除",
       "",
       IF(テーブル14[[#This Row],[keywords / 変更]]="",テーブル14[[#This Row],[keywords]],テーブル14[[#This Row],[keywords / 変更]]))</f>
        <v>[ "docusign", "ｄｏｃｕｓｉｇｎ", "ドキュサイン", "契約書", "サイン", "電子署名", "署名", "電子契約" ]</v>
      </c>
      <c r="V160" s="22" t="str">
        <f>IF(テーブル14[[#This Row],[変更種別]]="削除",
       "",
       IF(テーブル14[[#This Row],[comment]]="","",テーブル14[[#This Row],[comment]]))</f>
        <v/>
      </c>
      <c r="W160" s="22" t="str">
        <f>IF(テーブル14[[#This Row],[変更種別]]="削除",
       "",
       IF(テーブル14[[#This Row],[priority / 変更後]]="",テーブル14[[#This Row],[priority]],テーブル14[[#This Row],[priority / 変更後]]))</f>
        <v>1</v>
      </c>
      <c r="X16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KEYWORDS
　前: [ "DocuSign", "ドキュサイン", "契約書", "サイン", "電子署名", "署名", "電子契約" ]
　後: [ "docusign", "ｄｏｃｕｓｉｇｎ", "ドキュサイン", "契約書", "サイン", "電子署名", "署名", "電子契約" ]
</v>
      </c>
    </row>
    <row r="161" spans="1:24" ht="57" x14ac:dyDescent="0.25">
      <c r="A161" s="20" t="s">
        <v>773</v>
      </c>
      <c r="B161" s="20" t="s">
        <v>999</v>
      </c>
      <c r="C161" s="20" t="s">
        <v>415</v>
      </c>
      <c r="D161" s="20" t="s">
        <v>413</v>
      </c>
      <c r="E161" s="20" t="s">
        <v>414</v>
      </c>
      <c r="F161" s="20" t="s">
        <v>961</v>
      </c>
      <c r="G161" s="20"/>
      <c r="H161" s="20" t="s">
        <v>999</v>
      </c>
      <c r="I161" s="21" t="s">
        <v>975</v>
      </c>
      <c r="J161" s="21"/>
      <c r="K161" s="21" t="s">
        <v>1085</v>
      </c>
      <c r="L161" s="21"/>
      <c r="M161" s="21"/>
      <c r="N161" s="21" t="s">
        <v>1189</v>
      </c>
      <c r="O161" s="21"/>
      <c r="P161" s="22" t="str">
        <f>IF(_xlfn.CONCAT(テーブル14[[#This Row],[変更種別]:[keywords / 変更]])&lt;&gt;"","","*")</f>
        <v/>
      </c>
      <c r="Q161" s="22" t="str">
        <f>IF(テーブル14[[#This Row],[変更種別]]="削除","2",IF(テーブル14[[#This Row],[_ex2]]="","1",""))</f>
        <v>1</v>
      </c>
      <c r="R161" s="22" t="str">
        <f>IF(テーブル14[[#This Row],[変更種別]]="新規","",テーブル14[[#This Row],[id]])</f>
        <v>080f9ba6-4fb6-49a5-8a97-d67017b69825</v>
      </c>
      <c r="S161" s="22" t="str">
        <f>IF(テーブル14[[#This Row],[変更種別]]="削除",
       "",
       IF(テーブル14[[#This Row],[title / 変更]]="",テーブル14[[#This Row],[title]],テーブル14[[#This Row],[title / 変更]]))</f>
        <v>電子署名・私印（電子契約・捺印）</v>
      </c>
      <c r="T161" s="22" t="str">
        <f>IF(テーブル14[[#This Row],[変更種別]]="削除",
       "",
       IF(テーブル14[[#This Row],[url / 変更]]="",テーブル14[[#This Row],[url]],テーブル14[[#This Row],[url / 変更]]))</f>
        <v>https://itochucorp.sharepoint.com/sites/intra-tokgv-denshi-shomei-shiin</v>
      </c>
      <c r="U161" s="22" t="str">
        <f>IF(テーブル14[[#This Row],[変更種別]]="削除",
       "",
       IF(テーブル14[[#This Row],[keywords / 変更]]="",テーブル14[[#This Row],[keywords]],テーブル14[[#This Row],[keywords / 変更]]))</f>
        <v>[ "電子署名・私印", "電子契約・捺印", "電子署名", "私印", "電子契約", "電子捺印", "捺印" ]</v>
      </c>
      <c r="V161" s="22" t="str">
        <f>IF(テーブル14[[#This Row],[変更種別]]="削除",
       "",
       IF(テーブル14[[#This Row],[comment]]="","",テーブル14[[#This Row],[comment]]))</f>
        <v/>
      </c>
      <c r="W161" s="22" t="str">
        <f>IF(テーブル14[[#This Row],[変更種別]]="削除",
       "",
       IF(テーブル14[[#This Row],[priority / 変更後]]="",テーブル14[[#This Row],[priority]],テーブル14[[#This Row],[priority / 変更後]]))</f>
        <v>1</v>
      </c>
      <c r="X16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https://itochucorp.sharepoint.com/sites/intra-tokgv-denshi-shomei-shiin/SitePages/index.aspx
　後: https://itochucorp.sharepoint.com/sites/intra-tokgv-denshi-shomei-shiin
</v>
      </c>
    </row>
    <row r="162" spans="1:24" x14ac:dyDescent="0.25">
      <c r="A162" s="20" t="s">
        <v>773</v>
      </c>
      <c r="B162" s="20" t="s">
        <v>999</v>
      </c>
      <c r="C162" s="20" t="s">
        <v>230</v>
      </c>
      <c r="D162" s="20" t="s">
        <v>228</v>
      </c>
      <c r="E162" s="20" t="s">
        <v>229</v>
      </c>
      <c r="F162" s="20" t="s">
        <v>962</v>
      </c>
      <c r="G162" s="20"/>
      <c r="H162" s="20" t="s">
        <v>999</v>
      </c>
      <c r="I162" s="21"/>
      <c r="J162" s="21"/>
      <c r="K162" s="21"/>
      <c r="L162" s="21"/>
      <c r="M162" s="21"/>
      <c r="N162" s="21" t="s">
        <v>1189</v>
      </c>
      <c r="O162" s="21"/>
      <c r="P162" s="22" t="str">
        <f>IF(_xlfn.CONCAT(テーブル14[[#This Row],[変更種別]:[keywords / 変更]])&lt;&gt;"","","*")</f>
        <v>*</v>
      </c>
      <c r="Q162" s="22" t="str">
        <f>IF(テーブル14[[#This Row],[変更種別]]="削除","2",IF(テーブル14[[#This Row],[_ex2]]="","1",""))</f>
        <v/>
      </c>
      <c r="R162" s="22" t="str">
        <f>IF(テーブル14[[#This Row],[変更種別]]="新規","",テーブル14[[#This Row],[id]])</f>
        <v>7a16bc49-658c-4062-9c9a-2719ecbe32c3</v>
      </c>
      <c r="S162" s="22" t="str">
        <f>IF(テーブル14[[#This Row],[変更種別]]="削除",
       "",
       IF(テーブル14[[#This Row],[title / 変更]]="",テーブル14[[#This Row],[title]],テーブル14[[#This Row],[title / 変更]]))</f>
        <v>”安否確認サービス　ログイン”はこちら</v>
      </c>
      <c r="T162" s="22" t="str">
        <f>IF(テーブル14[[#This Row],[変更種別]]="削除",
       "",
       IF(テーブル14[[#This Row],[url / 変更]]="",テーブル14[[#This Row],[url]],テーブル14[[#This Row],[url / 変更]]))</f>
        <v>https://itochucorp.sharepoint.com/sites/intra-tokpj_hr-anpi/SitePages/安否確認サービス.aspx</v>
      </c>
      <c r="U162" s="22" t="str">
        <f>IF(テーブル14[[#This Row],[変更種別]]="削除",
       "",
       IF(テーブル14[[#This Row],[keywords / 変更]]="",テーブル14[[#This Row],[keywords]],テーブル14[[#This Row],[keywords / 変更]]))</f>
        <v>[ "安否確認サービス", "安否確認", "セコム安否確認", "安否確認サービス　ログイン", "安否確認サービス ログイン" ]</v>
      </c>
      <c r="V162" s="22" t="str">
        <f>IF(テーブル14[[#This Row],[変更種別]]="削除",
       "",
       IF(テーブル14[[#This Row],[comment]]="","",テーブル14[[#This Row],[comment]]))</f>
        <v/>
      </c>
      <c r="W162" s="22" t="str">
        <f>IF(テーブル14[[#This Row],[変更種別]]="削除",
       "",
       IF(テーブル14[[#This Row],[priority / 変更後]]="",テーブル14[[#This Row],[priority]],テーブル14[[#This Row],[priority / 変更後]]))</f>
        <v>1</v>
      </c>
      <c r="X16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63" spans="1:24" x14ac:dyDescent="0.25">
      <c r="A163" s="20" t="s">
        <v>773</v>
      </c>
      <c r="B163" s="20" t="s">
        <v>999</v>
      </c>
      <c r="C163" s="20" t="s">
        <v>265</v>
      </c>
      <c r="D163" s="20" t="s">
        <v>263</v>
      </c>
      <c r="E163" s="20" t="s">
        <v>264</v>
      </c>
      <c r="F163" s="20" t="s">
        <v>963</v>
      </c>
      <c r="G163" s="20"/>
      <c r="H163" s="20" t="s">
        <v>999</v>
      </c>
      <c r="I163" s="21"/>
      <c r="J163" s="21"/>
      <c r="K163" s="21"/>
      <c r="L163" s="21"/>
      <c r="M163" s="21"/>
      <c r="N163" s="21" t="s">
        <v>1189</v>
      </c>
      <c r="O163" s="21"/>
      <c r="P163" s="22" t="str">
        <f>IF(_xlfn.CONCAT(テーブル14[[#This Row],[変更種別]:[keywords / 変更]])&lt;&gt;"","","*")</f>
        <v>*</v>
      </c>
      <c r="Q163" s="22" t="str">
        <f>IF(テーブル14[[#This Row],[変更種別]]="削除","2",IF(テーブル14[[#This Row],[_ex2]]="","1",""))</f>
        <v/>
      </c>
      <c r="R163" s="22" t="str">
        <f>IF(テーブル14[[#This Row],[変更種別]]="新規","",テーブル14[[#This Row],[id]])</f>
        <v>16e6238c-cf57-45b8-a0d7-e78aabe3099e</v>
      </c>
      <c r="S163" s="22" t="str">
        <f>IF(テーブル14[[#This Row],[変更種別]]="削除",
       "",
       IF(テーブル14[[#This Row],[title / 変更]]="",テーブル14[[#This Row],[title]],テーブル14[[#This Row],[title / 変更]]))</f>
        <v>”べんりねっと”はこちら</v>
      </c>
      <c r="T163" s="22" t="str">
        <f>IF(テーブル14[[#This Row],[変更種別]]="削除",
       "",
       IF(テーブル14[[#This Row],[url / 変更]]="",テーブル14[[#This Row],[url]],テーブル14[[#This Row],[url / 変更]]))</f>
        <v>https://itochucorp.sharepoint.com/sites/extra-office/SitePages/benri/べんりねっと.aspx</v>
      </c>
      <c r="U163" s="22" t="str">
        <f>IF(テーブル14[[#This Row],[変更種別]]="削除",
       "",
       IF(テーブル14[[#This Row],[keywords / 変更]]="",テーブル14[[#This Row],[keywords]],テーブル14[[#This Row],[keywords / 変更]]))</f>
        <v>[ "べんりねっと", "事務用品", "文具", "封筒" ]</v>
      </c>
      <c r="V163" s="22" t="str">
        <f>IF(テーブル14[[#This Row],[変更種別]]="削除",
       "",
       IF(テーブル14[[#This Row],[comment]]="","",テーブル14[[#This Row],[comment]]))</f>
        <v/>
      </c>
      <c r="W163" s="22" t="str">
        <f>IF(テーブル14[[#This Row],[変更種別]]="削除",
       "",
       IF(テーブル14[[#This Row],[priority / 変更後]]="",テーブル14[[#This Row],[priority]],テーブル14[[#This Row],[priority / 変更後]]))</f>
        <v>1</v>
      </c>
      <c r="X16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64" spans="1:24" x14ac:dyDescent="0.25">
      <c r="A164" s="20" t="s">
        <v>773</v>
      </c>
      <c r="B164" s="20" t="s">
        <v>999</v>
      </c>
      <c r="C164" s="20" t="s">
        <v>460</v>
      </c>
      <c r="D164" s="20" t="s">
        <v>458</v>
      </c>
      <c r="E164" s="20" t="s">
        <v>459</v>
      </c>
      <c r="F164" s="20" t="s">
        <v>964</v>
      </c>
      <c r="G164" s="20"/>
      <c r="H164" s="20" t="s">
        <v>999</v>
      </c>
      <c r="I164" s="21"/>
      <c r="J164" s="21"/>
      <c r="K164" s="21"/>
      <c r="L164" s="21"/>
      <c r="M164" s="21"/>
      <c r="N164" s="21" t="s">
        <v>1189</v>
      </c>
      <c r="O164" s="21"/>
      <c r="P164" s="22" t="str">
        <f>IF(_xlfn.CONCAT(テーブル14[[#This Row],[変更種別]:[keywords / 変更]])&lt;&gt;"","","*")</f>
        <v>*</v>
      </c>
      <c r="Q164" s="22" t="str">
        <f>IF(テーブル14[[#This Row],[変更種別]]="削除","2",IF(テーブル14[[#This Row],[_ex2]]="","1",""))</f>
        <v/>
      </c>
      <c r="R164" s="22" t="str">
        <f>IF(テーブル14[[#This Row],[変更種別]]="新規","",テーブル14[[#This Row],[id]])</f>
        <v>d4b2128b-d248-4790-83ad-ac736bb2bc53</v>
      </c>
      <c r="S164" s="22" t="str">
        <f>IF(テーブル14[[#This Row],[変更種別]]="削除",
       "",
       IF(テーブル14[[#This Row],[title / 変更]]="",テーブル14[[#This Row],[title]],テーブル14[[#This Row],[title / 変更]]))</f>
        <v>”社用印章等の手続・管理に関するマニュアル”はこちら</v>
      </c>
      <c r="T164" s="22" t="str">
        <f>IF(テーブル14[[#This Row],[変更種別]]="削除",
       "",
       IF(テーブル14[[#This Row],[url / 変更]]="",テーブル14[[#This Row],[url]],テーブル14[[#This Row],[url / 変更]]))</f>
        <v>https://itochucorp.sharepoint.com/sites/intra-tokpj_ga/SitePages/rule/社用印章等の手続・管理に関するマニュアル.aspx</v>
      </c>
      <c r="U164" s="22" t="str">
        <f>IF(テーブル14[[#This Row],[変更種別]]="削除",
       "",
       IF(テーブル14[[#This Row],[keywords / 変更]]="",テーブル14[[#This Row],[keywords]],テーブル14[[#This Row],[keywords / 変更]]))</f>
        <v>[ "捺印", "社用印章", "社用印章マニュアル", "捺印マニュアル", "包括記名依頼書" ]</v>
      </c>
      <c r="V164" s="22" t="str">
        <f>IF(テーブル14[[#This Row],[変更種別]]="削除",
       "",
       IF(テーブル14[[#This Row],[comment]]="","",テーブル14[[#This Row],[comment]]))</f>
        <v/>
      </c>
      <c r="W164" s="22" t="str">
        <f>IF(テーブル14[[#This Row],[変更種別]]="削除",
       "",
       IF(テーブル14[[#This Row],[priority / 変更後]]="",テーブル14[[#This Row],[priority]],テーブル14[[#This Row],[priority / 変更後]]))</f>
        <v>1</v>
      </c>
      <c r="X16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65" spans="1:24" x14ac:dyDescent="0.25">
      <c r="A165" s="20" t="s">
        <v>773</v>
      </c>
      <c r="B165" s="20" t="s">
        <v>999</v>
      </c>
      <c r="C165" s="20" t="s">
        <v>613</v>
      </c>
      <c r="D165" s="20" t="s">
        <v>611</v>
      </c>
      <c r="E165" s="20" t="s">
        <v>612</v>
      </c>
      <c r="F165" s="20" t="s">
        <v>965</v>
      </c>
      <c r="G165" s="20"/>
      <c r="H165" s="20" t="s">
        <v>999</v>
      </c>
      <c r="I165" s="21"/>
      <c r="J165" s="21"/>
      <c r="K165" s="21"/>
      <c r="L165" s="21"/>
      <c r="M165" s="21"/>
      <c r="N165" s="21" t="s">
        <v>1189</v>
      </c>
      <c r="O165" s="21"/>
      <c r="P165" s="22" t="str">
        <f>IF(_xlfn.CONCAT(テーブル14[[#This Row],[変更種別]:[keywords / 変更]])&lt;&gt;"","","*")</f>
        <v>*</v>
      </c>
      <c r="Q165" s="22" t="str">
        <f>IF(テーブル14[[#This Row],[変更種別]]="削除","2",IF(テーブル14[[#This Row],[_ex2]]="","1",""))</f>
        <v/>
      </c>
      <c r="R165" s="22" t="str">
        <f>IF(テーブル14[[#This Row],[変更種別]]="新規","",テーブル14[[#This Row],[id]])</f>
        <v>451ab83e-513f-470a-89c4-893d660f98ec</v>
      </c>
      <c r="S165" s="22" t="str">
        <f>IF(テーブル14[[#This Row],[変更種別]]="削除",
       "",
       IF(テーブル14[[#This Row],[title / 変更]]="",テーブル14[[#This Row],[title]],テーブル14[[#This Row],[title / 変更]]))</f>
        <v>”文書削減活動 関連情報サイト”はこちら</v>
      </c>
      <c r="T165" s="22" t="str">
        <f>IF(テーブル14[[#This Row],[変更種別]]="削除",
       "",
       IF(テーブル14[[#This Row],[url / 変更]]="",テーブル14[[#This Row],[url]],テーブル14[[#This Row],[url / 変更]]))</f>
        <v>https://itochucorp.sharepoint.com/sites/intra-tokpj_ga/SitePages/文書削減活動 関連情報サイト.aspx</v>
      </c>
      <c r="U165" s="22" t="str">
        <f>IF(テーブル14[[#This Row],[変更種別]]="削除",
       "",
       IF(テーブル14[[#This Row],[keywords / 変更]]="",テーブル14[[#This Row],[keywords]],テーブル14[[#This Row],[keywords / 変更]]))</f>
        <v>[ "文書管理、文書保存、文書削減", "文書管理", "文書保存", "文書削減" ]</v>
      </c>
      <c r="V165" s="22" t="str">
        <f>IF(テーブル14[[#This Row],[変更種別]]="削除",
       "",
       IF(テーブル14[[#This Row],[comment]]="","",テーブル14[[#This Row],[comment]]))</f>
        <v/>
      </c>
      <c r="W165" s="22" t="str">
        <f>IF(テーブル14[[#This Row],[変更種別]]="削除",
       "",
       IF(テーブル14[[#This Row],[priority / 変更後]]="",テーブル14[[#This Row],[priority]],テーブル14[[#This Row],[priority / 変更後]]))</f>
        <v>1</v>
      </c>
      <c r="X16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66" spans="1:24" x14ac:dyDescent="0.25">
      <c r="A166" s="20" t="s">
        <v>773</v>
      </c>
      <c r="B166" s="20" t="s">
        <v>999</v>
      </c>
      <c r="C166" s="20" t="s">
        <v>610</v>
      </c>
      <c r="D166" s="20" t="s">
        <v>608</v>
      </c>
      <c r="E166" s="20" t="s">
        <v>609</v>
      </c>
      <c r="F166" s="20" t="s">
        <v>966</v>
      </c>
      <c r="G166" s="20"/>
      <c r="H166" s="20" t="s">
        <v>999</v>
      </c>
      <c r="I166" s="21"/>
      <c r="J166" s="21"/>
      <c r="K166" s="21"/>
      <c r="L166" s="21"/>
      <c r="M166" s="21"/>
      <c r="N166" s="21" t="s">
        <v>1189</v>
      </c>
      <c r="O166" s="21"/>
      <c r="P166" s="22" t="str">
        <f>IF(_xlfn.CONCAT(テーブル14[[#This Row],[変更種別]:[keywords / 変更]])&lt;&gt;"","","*")</f>
        <v>*</v>
      </c>
      <c r="Q166" s="22" t="str">
        <f>IF(テーブル14[[#This Row],[変更種別]]="削除","2",IF(テーブル14[[#This Row],[_ex2]]="","1",""))</f>
        <v/>
      </c>
      <c r="R166" s="22" t="str">
        <f>IF(テーブル14[[#This Row],[変更種別]]="新規","",テーブル14[[#This Row],[id]])</f>
        <v>45572411-afb1-46de-bbd5-8a32c858651b</v>
      </c>
      <c r="S166" s="22" t="str">
        <f>IF(テーブル14[[#This Row],[変更種別]]="削除",
       "",
       IF(テーブル14[[#This Row],[title / 変更]]="",テーブル14[[#This Row],[title]],テーブル14[[#This Row],[title / 変更]]))</f>
        <v>”文書管理規定”はこちら</v>
      </c>
      <c r="T166" s="22" t="str">
        <f>IF(テーブル14[[#This Row],[変更種別]]="削除",
       "",
       IF(テーブル14[[#This Row],[url / 変更]]="",テーブル14[[#This Row],[url]],テーブル14[[#This Row],[url / 変更]]))</f>
        <v>https://itochucorp.sharepoint.com/sites/intra-tokpj_ga/Shared%20Documents/rule/bunsyokanrikisoku.pdf</v>
      </c>
      <c r="U166" s="22" t="str">
        <f>IF(テーブル14[[#This Row],[変更種別]]="削除",
       "",
       IF(テーブル14[[#This Row],[keywords / 変更]]="",テーブル14[[#This Row],[keywords]],テーブル14[[#This Row],[keywords / 変更]]))</f>
        <v>[ "文書管理規則", "文書管理", "文書管理規定" ]</v>
      </c>
      <c r="V166" s="22" t="str">
        <f>IF(テーブル14[[#This Row],[変更種別]]="削除",
       "",
       IF(テーブル14[[#This Row],[comment]]="","",テーブル14[[#This Row],[comment]]))</f>
        <v/>
      </c>
      <c r="W166" s="22" t="str">
        <f>IF(テーブル14[[#This Row],[変更種別]]="削除",
       "",
       IF(テーブル14[[#This Row],[priority / 変更後]]="",テーブル14[[#This Row],[priority]],テーブル14[[#This Row],[priority / 変更後]]))</f>
        <v>1</v>
      </c>
      <c r="X16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67" spans="1:24" x14ac:dyDescent="0.25">
      <c r="A167" s="20" t="s">
        <v>773</v>
      </c>
      <c r="B167" s="20" t="s">
        <v>999</v>
      </c>
      <c r="C167" s="20" t="s">
        <v>616</v>
      </c>
      <c r="D167" s="20" t="s">
        <v>614</v>
      </c>
      <c r="E167" s="20" t="s">
        <v>615</v>
      </c>
      <c r="F167" s="20" t="s">
        <v>967</v>
      </c>
      <c r="G167" s="20"/>
      <c r="H167" s="20" t="s">
        <v>999</v>
      </c>
      <c r="I167" s="21"/>
      <c r="J167" s="21"/>
      <c r="K167" s="21"/>
      <c r="L167" s="21"/>
      <c r="M167" s="21"/>
      <c r="N167" s="21" t="s">
        <v>1192</v>
      </c>
      <c r="O167" s="21"/>
      <c r="P167" s="22" t="str">
        <f>IF(_xlfn.CONCAT(テーブル14[[#This Row],[変更種別]:[keywords / 変更]])&lt;&gt;"","","*")</f>
        <v>*</v>
      </c>
      <c r="Q167" s="22" t="str">
        <f>IF(テーブル14[[#This Row],[変更種別]]="削除","2",IF(テーブル14[[#This Row],[_ex2]]="","1",""))</f>
        <v/>
      </c>
      <c r="R167" s="22" t="str">
        <f>IF(テーブル14[[#This Row],[変更種別]]="新規","",テーブル14[[#This Row],[id]])</f>
        <v>3befc405-dabf-4371-8dce-d7bd8833ddd9</v>
      </c>
      <c r="S167" s="22" t="str">
        <f>IF(テーブル14[[#This Row],[変更種別]]="削除",
       "",
       IF(テーブル14[[#This Row],[title / 変更]]="",テーブル14[[#This Row],[title]],テーブル14[[#This Row],[title / 変更]]))</f>
        <v>”文書保存年限表”はこちら</v>
      </c>
      <c r="T167" s="22" t="str">
        <f>IF(テーブル14[[#This Row],[変更種別]]="削除",
       "",
       IF(テーブル14[[#This Row],[url / 変更]]="",テーブル14[[#This Row],[url]],テーブル14[[#This Row],[url / 変更]]))</f>
        <v>https://itochucorp.sharepoint.com/sites/intra-tokpj_ga/Shared%20Documents/rule/nengenhyo.pdf</v>
      </c>
      <c r="U167" s="22" t="str">
        <f>IF(テーブル14[[#This Row],[変更種別]]="削除",
       "",
       IF(テーブル14[[#This Row],[keywords / 変更]]="",テーブル14[[#This Row],[keywords]],テーブル14[[#This Row],[keywords / 変更]]))</f>
        <v>[ "文書管理", "文書保存", "文書保存年限表" ]</v>
      </c>
      <c r="V167" s="22" t="str">
        <f>IF(テーブル14[[#This Row],[変更種別]]="削除",
       "",
       IF(テーブル14[[#This Row],[comment]]="","",テーブル14[[#This Row],[comment]]))</f>
        <v/>
      </c>
      <c r="W167" s="22" t="str">
        <f>IF(テーブル14[[#This Row],[変更種別]]="削除",
       "",
       IF(テーブル14[[#This Row],[priority / 変更後]]="",テーブル14[[#This Row],[priority]],テーブル14[[#This Row],[priority / 変更後]]))</f>
        <v>3</v>
      </c>
      <c r="X16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68" spans="1:24" x14ac:dyDescent="0.25">
      <c r="A168" s="20" t="s">
        <v>773</v>
      </c>
      <c r="B168" s="20" t="s">
        <v>999</v>
      </c>
      <c r="C168" s="20" t="s">
        <v>626</v>
      </c>
      <c r="D168" s="20" t="s">
        <v>624</v>
      </c>
      <c r="E168" s="20" t="s">
        <v>625</v>
      </c>
      <c r="F168" s="20" t="s">
        <v>968</v>
      </c>
      <c r="G168" s="20"/>
      <c r="H168" s="20" t="s">
        <v>999</v>
      </c>
      <c r="I168" s="21"/>
      <c r="J168" s="21"/>
      <c r="K168" s="21"/>
      <c r="L168" s="21"/>
      <c r="M168" s="21"/>
      <c r="N168" s="21" t="s">
        <v>1189</v>
      </c>
      <c r="O168" s="21"/>
      <c r="P168" s="22" t="str">
        <f>IF(_xlfn.CONCAT(テーブル14[[#This Row],[変更種別]:[keywords / 変更]])&lt;&gt;"","","*")</f>
        <v>*</v>
      </c>
      <c r="Q168" s="22" t="str">
        <f>IF(テーブル14[[#This Row],[変更種別]]="削除","2",IF(テーブル14[[#This Row],[_ex2]]="","1",""))</f>
        <v/>
      </c>
      <c r="R168" s="22" t="str">
        <f>IF(テーブル14[[#This Row],[変更種別]]="新規","",テーブル14[[#This Row],[id]])</f>
        <v>adb5d318-f6bb-4db5-a16b-550f65880c33</v>
      </c>
      <c r="S168" s="22" t="str">
        <f>IF(テーブル14[[#This Row],[変更種別]]="削除",
       "",
       IF(テーブル14[[#This Row],[title / 変更]]="",テーブル14[[#This Row],[title]],テーブル14[[#This Row],[title / 変更]]))</f>
        <v>”文書保存箱管理システム”はこちら</v>
      </c>
      <c r="T168" s="22" t="str">
        <f>IF(テーブル14[[#This Row],[変更種別]]="削除",
       "",
       IF(テーブル14[[#This Row],[url / 変更]]="",テーブル14[[#This Row],[url]],テーブル14[[#This Row],[url / 変更]]))</f>
        <v>https://dms.itclogi.com/login</v>
      </c>
      <c r="U168" s="22" t="str">
        <f>IF(テーブル14[[#This Row],[変更種別]]="削除",
       "",
       IF(テーブル14[[#This Row],[keywords / 変更]]="",テーブル14[[#This Row],[keywords]],テーブル14[[#This Row],[keywords / 変更]]))</f>
        <v>[ "文書保存箱", "文書保存箱管理", "文書保存箱管理システム" ]</v>
      </c>
      <c r="V168" s="22" t="str">
        <f>IF(テーブル14[[#This Row],[変更種別]]="削除",
       "",
       IF(テーブル14[[#This Row],[comment]]="","",テーブル14[[#This Row],[comment]]))</f>
        <v/>
      </c>
      <c r="W168" s="22" t="str">
        <f>IF(テーブル14[[#This Row],[変更種別]]="削除",
       "",
       IF(テーブル14[[#This Row],[priority / 変更後]]="",テーブル14[[#This Row],[priority]],テーブル14[[#This Row],[priority / 変更後]]))</f>
        <v>1</v>
      </c>
      <c r="X16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69" spans="1:24" x14ac:dyDescent="0.25">
      <c r="A169" s="20" t="s">
        <v>773</v>
      </c>
      <c r="B169" s="20" t="s">
        <v>999</v>
      </c>
      <c r="C169" s="20" t="s">
        <v>205</v>
      </c>
      <c r="D169" s="20" t="s">
        <v>203</v>
      </c>
      <c r="E169" s="20" t="s">
        <v>204</v>
      </c>
      <c r="F169" s="20" t="s">
        <v>969</v>
      </c>
      <c r="G169" s="20"/>
      <c r="H169" s="20" t="s">
        <v>999</v>
      </c>
      <c r="I169" s="21"/>
      <c r="J169" s="21"/>
      <c r="K169" s="21"/>
      <c r="L169" s="21"/>
      <c r="M169" s="21"/>
      <c r="N169" s="21" t="s">
        <v>1189</v>
      </c>
      <c r="O169" s="21"/>
      <c r="P169" s="22" t="str">
        <f>IF(_xlfn.CONCAT(テーブル14[[#This Row],[変更種別]:[keywords / 変更]])&lt;&gt;"","","*")</f>
        <v>*</v>
      </c>
      <c r="Q169" s="22" t="str">
        <f>IF(テーブル14[[#This Row],[変更種別]]="削除","2",IF(テーブル14[[#This Row],[_ex2]]="","1",""))</f>
        <v/>
      </c>
      <c r="R169" s="22" t="str">
        <f>IF(テーブル14[[#This Row],[変更種別]]="新規","",テーブル14[[#This Row],[id]])</f>
        <v>298aeded-5796-41d0-b3a4-e479f2957735</v>
      </c>
      <c r="S169" s="22" t="str">
        <f>IF(テーブル14[[#This Row],[変更種別]]="削除",
       "",
       IF(テーブル14[[#This Row],[title / 変更]]="",テーブル14[[#This Row],[title]],テーブル14[[#This Row],[title / 変更]]))</f>
        <v>”コピー・プリントサービスのご案内（東京）”はこちら</v>
      </c>
      <c r="T169" s="22" t="str">
        <f>IF(テーブル14[[#This Row],[変更種別]]="削除",
       "",
       IF(テーブル14[[#This Row],[url / 変更]]="",テーブル14[[#This Row],[url]],テーブル14[[#This Row],[url / 変更]]))</f>
        <v>https://itochucorp.sharepoint.com/sites/extra-office/SitePages/cpc/コピー・プリントサービスのご案内（東京）.aspx</v>
      </c>
      <c r="U169" s="22" t="str">
        <f>IF(テーブル14[[#This Row],[変更種別]]="削除",
       "",
       IF(テーブル14[[#This Row],[keywords / 変更]]="",テーブル14[[#This Row],[keywords]],テーブル14[[#This Row],[keywords / 変更]]))</f>
        <v>[ "コピー", "コピ", "コピーサービス", "プリント", "プリントサービス" ]</v>
      </c>
      <c r="V169" s="22" t="str">
        <f>IF(テーブル14[[#This Row],[変更種別]]="削除",
       "",
       IF(テーブル14[[#This Row],[comment]]="","",テーブル14[[#This Row],[comment]]))</f>
        <v/>
      </c>
      <c r="W169" s="22" t="str">
        <f>IF(テーブル14[[#This Row],[変更種別]]="削除",
       "",
       IF(テーブル14[[#This Row],[priority / 変更後]]="",テーブル14[[#This Row],[priority]],テーブル14[[#This Row],[priority / 変更後]]))</f>
        <v>1</v>
      </c>
      <c r="X16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70" spans="1:24" x14ac:dyDescent="0.25">
      <c r="A170" s="20" t="s">
        <v>773</v>
      </c>
      <c r="B170" s="20" t="s">
        <v>999</v>
      </c>
      <c r="C170" s="20" t="s">
        <v>320</v>
      </c>
      <c r="D170" s="20" t="s">
        <v>318</v>
      </c>
      <c r="E170" s="20" t="s">
        <v>319</v>
      </c>
      <c r="F170" s="20" t="s">
        <v>970</v>
      </c>
      <c r="G170" s="20"/>
      <c r="H170" s="20" t="s">
        <v>999</v>
      </c>
      <c r="I170" s="21"/>
      <c r="J170" s="21"/>
      <c r="K170" s="21"/>
      <c r="L170" s="21"/>
      <c r="M170" s="21"/>
      <c r="N170" s="21" t="s">
        <v>1189</v>
      </c>
      <c r="O170" s="21"/>
      <c r="P170" s="22" t="str">
        <f>IF(_xlfn.CONCAT(テーブル14[[#This Row],[変更種別]:[keywords / 変更]])&lt;&gt;"","","*")</f>
        <v>*</v>
      </c>
      <c r="Q170" s="22" t="str">
        <f>IF(テーブル14[[#This Row],[変更種別]]="削除","2",IF(テーブル14[[#This Row],[_ex2]]="","1",""))</f>
        <v/>
      </c>
      <c r="R170" s="22" t="str">
        <f>IF(テーブル14[[#This Row],[変更種別]]="新規","",テーブル14[[#This Row],[id]])</f>
        <v>7b78ed87-9748-47c0-8352-12403daa3afe</v>
      </c>
      <c r="S170" s="22" t="str">
        <f>IF(テーブル14[[#This Row],[変更種別]]="削除",
       "",
       IF(テーブル14[[#This Row],[title / 変更]]="",テーブル14[[#This Row],[title]],テーブル14[[#This Row],[title / 変更]]))</f>
        <v>”設備予約トップページ”はこちら</v>
      </c>
      <c r="T170" s="22" t="str">
        <f>IF(テーブル14[[#This Row],[変更種別]]="削除",
       "",
       IF(テーブル14[[#This Row],[url / 変更]]="",テーブル14[[#This Row],[url]],テーブル14[[#This Row],[url / 変更]]))</f>
        <v>https://brs.itochu.co.jp/brs/ctrl/showEquipmentReservationList.do</v>
      </c>
      <c r="U170" s="22" t="str">
        <f>IF(テーブル14[[#This Row],[変更種別]]="削除",
       "",
       IF(テーブル14[[#This Row],[keywords / 変更]]="",テーブル14[[#This Row],[keywords]],テーブル14[[#This Row],[keywords / 変更]]))</f>
        <v>[ "会議室", "設備予約" ]</v>
      </c>
      <c r="V170" s="22" t="str">
        <f>IF(テーブル14[[#This Row],[変更種別]]="削除",
       "",
       IF(テーブル14[[#This Row],[comment]]="","",テーブル14[[#This Row],[comment]]))</f>
        <v/>
      </c>
      <c r="W170" s="22" t="str">
        <f>IF(テーブル14[[#This Row],[変更種別]]="削除",
       "",
       IF(テーブル14[[#This Row],[priority / 変更後]]="",テーブル14[[#This Row],[priority]],テーブル14[[#This Row],[priority / 変更後]]))</f>
        <v>1</v>
      </c>
      <c r="X170"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71" spans="1:24" x14ac:dyDescent="0.25">
      <c r="A171" s="20" t="s">
        <v>773</v>
      </c>
      <c r="B171" s="20" t="s">
        <v>999</v>
      </c>
      <c r="C171" s="20" t="s">
        <v>470</v>
      </c>
      <c r="D171" s="20" t="s">
        <v>468</v>
      </c>
      <c r="E171" s="20" t="s">
        <v>469</v>
      </c>
      <c r="F171" s="20" t="s">
        <v>971</v>
      </c>
      <c r="G171" s="20"/>
      <c r="H171" s="20" t="s">
        <v>999</v>
      </c>
      <c r="I171" s="21"/>
      <c r="J171" s="21"/>
      <c r="K171" s="21"/>
      <c r="L171" s="21"/>
      <c r="M171" s="21"/>
      <c r="N171" s="21" t="s">
        <v>1189</v>
      </c>
      <c r="O171" s="21"/>
      <c r="P171" s="22" t="str">
        <f>IF(_xlfn.CONCAT(テーブル14[[#This Row],[変更種別]:[keywords / 変更]])&lt;&gt;"","","*")</f>
        <v>*</v>
      </c>
      <c r="Q171" s="22" t="str">
        <f>IF(テーブル14[[#This Row],[変更種別]]="削除","2",IF(テーブル14[[#This Row],[_ex2]]="","1",""))</f>
        <v/>
      </c>
      <c r="R171" s="22" t="str">
        <f>IF(テーブル14[[#This Row],[変更種別]]="新規","",テーブル14[[#This Row],[id]])</f>
        <v>2fb8589c-1926-4b6e-b9c5-d62135dff748</v>
      </c>
      <c r="S171" s="22" t="str">
        <f>IF(テーブル14[[#This Row],[変更種別]]="削除",
       "",
       IF(テーブル14[[#This Row],[title / 変更]]="",テーブル14[[#This Row],[title]],テーブル14[[#This Row],[title / 変更]]))</f>
        <v>”来客予約トップページ”はこちら</v>
      </c>
      <c r="T171" s="22" t="str">
        <f>IF(テーブル14[[#This Row],[変更種別]]="削除",
       "",
       IF(テーブル14[[#This Row],[url / 変更]]="",テーブル14[[#This Row],[url]],テーブル14[[#This Row],[url / 変更]]))</f>
        <v>https://brs.itochu.co.jp/brs/ctrl/showVisitorReservationList.do</v>
      </c>
      <c r="U171" s="22" t="str">
        <f>IF(テーブル14[[#This Row],[変更種別]]="削除",
       "",
       IF(テーブル14[[#This Row],[keywords / 変更]]="",テーブル14[[#This Row],[keywords]],テーブル14[[#This Row],[keywords / 変更]]))</f>
        <v>[ "来客", "受付", "来客予約" ]</v>
      </c>
      <c r="V171" s="22" t="str">
        <f>IF(テーブル14[[#This Row],[変更種別]]="削除",
       "",
       IF(テーブル14[[#This Row],[comment]]="","",テーブル14[[#This Row],[comment]]))</f>
        <v/>
      </c>
      <c r="W171" s="22" t="str">
        <f>IF(テーブル14[[#This Row],[変更種別]]="削除",
       "",
       IF(テーブル14[[#This Row],[priority / 変更後]]="",テーブル14[[#This Row],[priority]],テーブル14[[#This Row],[priority / 変更後]]))</f>
        <v>1</v>
      </c>
      <c r="X171"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72" spans="1:24" x14ac:dyDescent="0.25">
      <c r="A172" s="20" t="s">
        <v>773</v>
      </c>
      <c r="B172" s="20" t="s">
        <v>999</v>
      </c>
      <c r="C172" s="20" t="s">
        <v>255</v>
      </c>
      <c r="D172" s="20" t="s">
        <v>253</v>
      </c>
      <c r="E172" s="20" t="s">
        <v>254</v>
      </c>
      <c r="F172" s="20" t="s">
        <v>972</v>
      </c>
      <c r="G172" s="20"/>
      <c r="H172" s="20" t="s">
        <v>999</v>
      </c>
      <c r="I172" s="21"/>
      <c r="J172" s="21"/>
      <c r="K172" s="21"/>
      <c r="L172" s="21"/>
      <c r="M172" s="21"/>
      <c r="N172" s="21" t="s">
        <v>1189</v>
      </c>
      <c r="O172" s="21"/>
      <c r="P172" s="22" t="str">
        <f>IF(_xlfn.CONCAT(テーブル14[[#This Row],[変更種別]:[keywords / 変更]])&lt;&gt;"","","*")</f>
        <v>*</v>
      </c>
      <c r="Q172" s="22" t="str">
        <f>IF(テーブル14[[#This Row],[変更種別]]="削除","2",IF(テーブル14[[#This Row],[_ex2]]="","1",""))</f>
        <v/>
      </c>
      <c r="R172" s="22" t="str">
        <f>IF(テーブル14[[#This Row],[変更種別]]="新規","",テーブル14[[#This Row],[id]])</f>
        <v>b0d3725a-4d89-48a7-a9cd-5902f75bf0c1</v>
      </c>
      <c r="S172" s="22" t="str">
        <f>IF(テーブル14[[#This Row],[変更種別]]="削除",
       "",
       IF(テーブル14[[#This Row],[title / 変更]]="",テーブル14[[#This Row],[title]],テーブル14[[#This Row],[title / 変更]]))</f>
        <v>”社名入広告宣伝品リスト”はこちら</v>
      </c>
      <c r="T172" s="22" t="str">
        <f>IF(テーブル14[[#This Row],[変更種別]]="削除",
       "",
       IF(テーブル14[[#This Row],[url / 変更]]="",テーブル14[[#This Row],[url]],テーブル14[[#This Row],[url / 変更]]))</f>
        <v>https://itochucorp.sharepoint.com/sites/extra-office/SitePages/jimu/pub/社名入広告宣伝品リスト.aspx</v>
      </c>
      <c r="U172" s="22" t="str">
        <f>IF(テーブル14[[#This Row],[変更種別]]="削除",
       "",
       IF(テーブル14[[#This Row],[keywords / 変更]]="",テーブル14[[#This Row],[keywords]],テーブル14[[#This Row],[keywords / 変更]]))</f>
        <v>[ "社名入り", "ノベルティ" ]</v>
      </c>
      <c r="V172" s="22" t="str">
        <f>IF(テーブル14[[#This Row],[変更種別]]="削除",
       "",
       IF(テーブル14[[#This Row],[comment]]="","",テーブル14[[#This Row],[comment]]))</f>
        <v/>
      </c>
      <c r="W172" s="22" t="str">
        <f>IF(テーブル14[[#This Row],[変更種別]]="削除",
       "",
       IF(テーブル14[[#This Row],[priority / 変更後]]="",テーブル14[[#This Row],[priority]],テーブル14[[#This Row],[priority / 変更後]]))</f>
        <v>1</v>
      </c>
      <c r="X172"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c>
    </row>
    <row r="173" spans="1:24" ht="57" x14ac:dyDescent="0.25">
      <c r="A173" s="20" t="s">
        <v>773</v>
      </c>
      <c r="B173" s="20" t="s">
        <v>999</v>
      </c>
      <c r="C173" s="20" t="s">
        <v>642</v>
      </c>
      <c r="D173" s="20" t="s">
        <v>640</v>
      </c>
      <c r="E173" s="20" t="s">
        <v>641</v>
      </c>
      <c r="F173" s="20" t="s">
        <v>973</v>
      </c>
      <c r="G173" s="20"/>
      <c r="H173" s="20" t="s">
        <v>999</v>
      </c>
      <c r="I173" s="21" t="s">
        <v>975</v>
      </c>
      <c r="J173" s="21"/>
      <c r="K173" s="21" t="s">
        <v>1086</v>
      </c>
      <c r="L173" s="21"/>
      <c r="M173" s="21"/>
      <c r="N173" s="21" t="s">
        <v>1189</v>
      </c>
      <c r="O173" s="21"/>
      <c r="P173" s="22" t="str">
        <f>IF(_xlfn.CONCAT(テーブル14[[#This Row],[変更種別]:[keywords / 変更]])&lt;&gt;"","","*")</f>
        <v/>
      </c>
      <c r="Q173" s="22" t="str">
        <f>IF(テーブル14[[#This Row],[変更種別]]="削除","2",IF(テーブル14[[#This Row],[_ex2]]="","1",""))</f>
        <v>1</v>
      </c>
      <c r="R173" s="22" t="str">
        <f>IF(テーブル14[[#This Row],[変更種別]]="新規","",テーブル14[[#This Row],[id]])</f>
        <v>a753cb37-3462-4949-bf63-a2e3c393ff4e</v>
      </c>
      <c r="S173" s="22" t="str">
        <f>IF(テーブル14[[#This Row],[変更種別]]="削除",
       "",
       IF(テーブル14[[#This Row],[title / 変更]]="",テーブル14[[#This Row],[title]],テーブル14[[#This Row],[title / 変更]]))</f>
        <v>”伊藤忠グループセキュリティ”はこちら</v>
      </c>
      <c r="T173" s="22" t="str">
        <f>IF(テーブル14[[#This Row],[変更種別]]="削除",
       "",
       IF(テーブル14[[#This Row],[url / 変更]]="",テーブル14[[#This Row],[url]],テーブル14[[#This Row],[url / 変更]]))</f>
        <v>https://group-intra.itochu.co.jp/sites/tokpj_ga/</v>
      </c>
      <c r="U173" s="22" t="str">
        <f>IF(テーブル14[[#This Row],[変更種別]]="削除",
       "",
       IF(テーブル14[[#This Row],[keywords / 変更]]="",テーブル14[[#This Row],[keywords]],テーブル14[[#This Row],[keywords / 変更]]))</f>
        <v>[ "防災" ]</v>
      </c>
      <c r="V173" s="22" t="str">
        <f>IF(テーブル14[[#This Row],[変更種別]]="削除",
       "",
       IF(テーブル14[[#This Row],[comment]]="","",テーブル14[[#This Row],[comment]]))</f>
        <v/>
      </c>
      <c r="W173" s="22" t="str">
        <f>IF(テーブル14[[#This Row],[変更種別]]="削除",
       "",
       IF(テーブル14[[#This Row],[priority / 変更後]]="",テーブル14[[#This Row],[priority]],テーブル14[[#This Row],[priority / 変更後]]))</f>
        <v>1</v>
      </c>
      <c r="X173"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URL
　前: https://group-intra.itochu.co.jp/tokpj_ga/SitePages/TopPage.aspx
　後: https://group-intra.itochu.co.jp/sites/tokpj_ga/
</v>
      </c>
    </row>
    <row r="174" spans="1:24" ht="99.75" x14ac:dyDescent="0.25">
      <c r="A174" s="24"/>
      <c r="B174" s="24"/>
      <c r="C174" s="24"/>
      <c r="D174" s="24"/>
      <c r="E174" s="24"/>
      <c r="F174" s="24"/>
      <c r="G174" s="24"/>
      <c r="H174" s="24"/>
      <c r="I174" s="25" t="s">
        <v>1087</v>
      </c>
      <c r="J174" s="25" t="s">
        <v>1088</v>
      </c>
      <c r="K174" s="25" t="s">
        <v>1089</v>
      </c>
      <c r="L174" s="25" t="s">
        <v>1090</v>
      </c>
      <c r="M174" s="25"/>
      <c r="N174" s="25" t="s">
        <v>1191</v>
      </c>
      <c r="O174" s="25"/>
      <c r="P174" s="26" t="str">
        <f>IF(_xlfn.CONCAT(テーブル14[[#This Row],[変更種別]:[keywords / 変更]])&lt;&gt;"","","*")</f>
        <v/>
      </c>
      <c r="Q174" s="26" t="str">
        <f>IF(テーブル14[[#This Row],[変更種別]]="削除","2",IF(テーブル14[[#This Row],[_ex2]]="","1",""))</f>
        <v>1</v>
      </c>
      <c r="R174" s="26" t="str">
        <f>IF(テーブル14[[#This Row],[変更種別]]="新規","",テーブル14[[#This Row],[id]])</f>
        <v/>
      </c>
      <c r="S174" s="26" t="str">
        <f>IF(テーブル14[[#This Row],[変更種別]]="削除",
       "",
       IF(テーブル14[[#This Row],[title / 変更]]="",テーブル14[[#This Row],[title]],テーブル14[[#This Row],[title / 変更]]))</f>
        <v>社宅・寮 関連申請書</v>
      </c>
      <c r="T174" s="26" t="str">
        <f>IF(テーブル14[[#This Row],[変更種別]]="削除",
       "",
       IF(テーブル14[[#This Row],[url / 変更]]="",テーブル14[[#This Row],[url]],テーブル14[[#This Row],[url / 変更]]))</f>
        <v>https://itochucorp.sharepoint.com/sites/intra-form/DocLib006/Forms/AllItems.aspx?FilterField1=Category&amp;FilterValue1=03.給与・厚生関連&amp;FilterField2=Category2&amp;FilterValue2=04.福利厚生関連</v>
      </c>
      <c r="U174" s="26" t="str">
        <f>IF(テーブル14[[#This Row],[変更種別]]="削除",
       "",
       IF(テーブル14[[#This Row],[keywords / 変更]]="",テーブル14[[#This Row],[keywords]],テーブル14[[#This Row],[keywords / 変更]]))</f>
        <v>[ "社宅", "社宅申請書", "寮", "寮申請書", "日吉寮", "日吉" ]</v>
      </c>
      <c r="V174" s="26" t="str">
        <f>IF(テーブル14[[#This Row],[変更種別]]="削除",
       "",
       IF(テーブル14[[#This Row],[comment]]="","",テーブル14[[#This Row],[comment]]))</f>
        <v/>
      </c>
      <c r="W174" s="26" t="str">
        <f>IF(テーブル14[[#This Row],[変更種別]]="削除",
       "",
       IF(テーブル14[[#This Row],[priority / 変更後]]="",テーブル14[[#This Row],[priority]],テーブル14[[#This Row],[priority / 変更後]]))</f>
        <v>2</v>
      </c>
      <c r="X174"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社宅・寮 関連申請書
■ URL
　 https://itochucorp.sharepoint.com/sites/intra-form/DocLib006/Forms/AllItems.aspx?FilterField1=Category&amp;FilterValue1=03.給与・厚生関連&amp;FilterField2=Category2&amp;FilterValue2=04.福利厚生関連
■ KEYWORDS
　 [ "社宅", "社宅申請書", "寮", "寮申請書", "日吉寮", "日吉" ]
</v>
      </c>
    </row>
    <row r="175" spans="1:24" ht="99.75" x14ac:dyDescent="0.25">
      <c r="A175" s="20"/>
      <c r="B175" s="20"/>
      <c r="C175" s="20"/>
      <c r="D175" s="20"/>
      <c r="E175" s="20"/>
      <c r="F175" s="20"/>
      <c r="G175" s="20"/>
      <c r="H175" s="20"/>
      <c r="I175" s="25" t="s">
        <v>1087</v>
      </c>
      <c r="J175" s="21" t="s">
        <v>1110</v>
      </c>
      <c r="K175" s="21" t="s">
        <v>1091</v>
      </c>
      <c r="L175" s="25" t="s">
        <v>1109</v>
      </c>
      <c r="M175" s="25"/>
      <c r="N175" s="21" t="s">
        <v>1189</v>
      </c>
      <c r="O175" s="21"/>
      <c r="P175" s="22" t="str">
        <f>IF(_xlfn.CONCAT(テーブル14[[#This Row],[変更種別]:[keywords / 変更]])&lt;&gt;"","","*")</f>
        <v/>
      </c>
      <c r="Q175" s="22" t="str">
        <f>IF(テーブル14[[#This Row],[変更種別]]="削除","2",IF(テーブル14[[#This Row],[_ex2]]="","1",""))</f>
        <v>1</v>
      </c>
      <c r="R175" s="22" t="str">
        <f>IF(テーブル14[[#This Row],[変更種別]]="新規","",テーブル14[[#This Row],[id]])</f>
        <v/>
      </c>
      <c r="S175" s="22" t="str">
        <f>IF(テーブル14[[#This Row],[変更種別]]="削除",
       "",
       IF(テーブル14[[#This Row],[title / 変更]]="",テーブル14[[#This Row],[title]],テーブル14[[#This Row],[title / 変更]]))</f>
        <v>勤務簿</v>
      </c>
      <c r="T175" s="22" t="str">
        <f>IF(テーブル14[[#This Row],[変更種別]]="削除",
       "",
       IF(テーブル14[[#This Row],[url / 変更]]="",テーブル14[[#This Row],[url]],テーブル14[[#This Row],[url / 変更]]))</f>
        <v>https://itochucorp.sharepoint.com/sites/intra-tokgv-kinmu</v>
      </c>
      <c r="U175" s="22" t="str">
        <f>IF(テーブル14[[#This Row],[変更種別]]="削除",
       "",
       IF(テーブル14[[#This Row],[keywords / 変更]]="",テーブル14[[#This Row],[keywords]],テーブル14[[#This Row],[keywords / 変更]]))</f>
        <v>[ "ワークフロー", "勤務", "勤務簿", "勤務管理" ]</v>
      </c>
      <c r="V175" s="22" t="str">
        <f>IF(テーブル14[[#This Row],[変更種別]]="削除",
       "",
       IF(テーブル14[[#This Row],[comment]]="","",テーブル14[[#This Row],[comment]]))</f>
        <v/>
      </c>
      <c r="W175" s="22" t="str">
        <f>IF(テーブル14[[#This Row],[変更種別]]="削除",
       "",
       IF(テーブル14[[#This Row],[priority / 変更後]]="",テーブル14[[#This Row],[priority]],テーブル14[[#This Row],[priority / 変更後]]))</f>
        <v>1</v>
      </c>
      <c r="X175"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勤務簿
■ URL
　 https://itochucorp.sharepoint.com/sites/intra-tokgv-kinmu
■ KEYWORDS
　 [ "ワークフロー", "勤務", "勤務簿", "勤務管理" ]
</v>
      </c>
    </row>
    <row r="176" spans="1:24" ht="99.75" x14ac:dyDescent="0.25">
      <c r="A176" s="24"/>
      <c r="B176" s="24"/>
      <c r="C176" s="24"/>
      <c r="D176" s="24"/>
      <c r="E176" s="24"/>
      <c r="F176" s="24"/>
      <c r="G176" s="24"/>
      <c r="H176" s="24"/>
      <c r="I176" s="25" t="s">
        <v>1087</v>
      </c>
      <c r="J176" s="25" t="s">
        <v>1092</v>
      </c>
      <c r="K176" s="25" t="s">
        <v>1093</v>
      </c>
      <c r="L176" s="25" t="s">
        <v>1113</v>
      </c>
      <c r="M176" s="25"/>
      <c r="N176" s="25" t="s">
        <v>1191</v>
      </c>
      <c r="O176" s="25"/>
      <c r="P176" s="26" t="str">
        <f>IF(_xlfn.CONCAT(テーブル14[[#This Row],[変更種別]:[keywords / 変更]])&lt;&gt;"","","*")</f>
        <v/>
      </c>
      <c r="Q176" s="26" t="str">
        <f>IF(テーブル14[[#This Row],[変更種別]]="削除","2",IF(テーブル14[[#This Row],[_ex2]]="","1",""))</f>
        <v>1</v>
      </c>
      <c r="R176" s="26" t="str">
        <f>IF(テーブル14[[#This Row],[変更種別]]="新規","",テーブル14[[#This Row],[id]])</f>
        <v/>
      </c>
      <c r="S176" s="26" t="str">
        <f>IF(テーブル14[[#This Row],[変更種別]]="削除",
       "",
       IF(テーブル14[[#This Row],[title / 変更]]="",テーブル14[[#This Row],[title]],テーブル14[[#This Row],[title / 変更]]))</f>
        <v>勤務管理 FAQ</v>
      </c>
      <c r="T176" s="26" t="str">
        <f>IF(テーブル14[[#This Row],[変更種別]]="削除",
       "",
       IF(テーブル14[[#This Row],[url / 変更]]="",テーブル14[[#This Row],[url]],テーブル14[[#This Row],[url / 変更]]))</f>
        <v>https://itochucorp.sharepoint.com/sites/intra-tokgv-kinmu/Lists/kinmu_faq</v>
      </c>
      <c r="U176" s="26" t="str">
        <f>IF(テーブル14[[#This Row],[変更種別]]="削除",
       "",
       IF(テーブル14[[#This Row],[keywords / 変更]]="",テーブル14[[#This Row],[keywords]],テーブル14[[#This Row],[keywords / 変更]]))</f>
        <v>[ "勤務", "勤務簿", "勤務管理" ]</v>
      </c>
      <c r="V176" s="26" t="str">
        <f>IF(テーブル14[[#This Row],[変更種別]]="削除",
       "",
       IF(テーブル14[[#This Row],[comment]]="","",テーブル14[[#This Row],[comment]]))</f>
        <v/>
      </c>
      <c r="W176" s="26" t="str">
        <f>IF(テーブル14[[#This Row],[変更種別]]="削除",
       "",
       IF(テーブル14[[#This Row],[priority / 変更後]]="",テーブル14[[#This Row],[priority]],テーブル14[[#This Row],[priority / 変更後]]))</f>
        <v>2</v>
      </c>
      <c r="X176"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勤務管理 FAQ
■ URL
　 https://itochucorp.sharepoint.com/sites/intra-tokgv-kinmu/Lists/kinmu_faq
■ KEYWORDS
　 [ "勤務", "勤務簿", "勤務管理" ]
</v>
      </c>
    </row>
    <row r="177" spans="1:24" ht="99.75" x14ac:dyDescent="0.25">
      <c r="A177" s="20"/>
      <c r="B177" s="20"/>
      <c r="C177" s="20"/>
      <c r="D177" s="20"/>
      <c r="E177" s="20"/>
      <c r="F177" s="20"/>
      <c r="G177" s="20"/>
      <c r="H177" s="20"/>
      <c r="I177" s="25" t="s">
        <v>1087</v>
      </c>
      <c r="J177" s="21" t="s">
        <v>1111</v>
      </c>
      <c r="K177" s="21" t="s">
        <v>1094</v>
      </c>
      <c r="L177" s="25" t="s">
        <v>1112</v>
      </c>
      <c r="M177" s="25"/>
      <c r="N177" s="21" t="s">
        <v>1189</v>
      </c>
      <c r="O177" s="21"/>
      <c r="P177" s="22" t="str">
        <f>IF(_xlfn.CONCAT(テーブル14[[#This Row],[変更種別]:[keywords / 変更]])&lt;&gt;"","","*")</f>
        <v/>
      </c>
      <c r="Q177" s="22" t="str">
        <f>IF(テーブル14[[#This Row],[変更種別]]="削除","2",IF(テーブル14[[#This Row],[_ex2]]="","1",""))</f>
        <v>1</v>
      </c>
      <c r="R177" s="22" t="str">
        <f>IF(テーブル14[[#This Row],[変更種別]]="新規","",テーブル14[[#This Row],[id]])</f>
        <v/>
      </c>
      <c r="S177" s="22" t="str">
        <f>IF(テーブル14[[#This Row],[変更種別]]="削除",
       "",
       IF(テーブル14[[#This Row],[title / 変更]]="",テーブル14[[#This Row],[title]],テーブル14[[#This Row],[title / 変更]]))</f>
        <v>経費精算</v>
      </c>
      <c r="T177" s="22" t="str">
        <f>IF(テーブル14[[#This Row],[変更種別]]="削除",
       "",
       IF(テーブル14[[#This Row],[url / 変更]]="",テーブル14[[#This Row],[url]],テーブル14[[#This Row],[url / 変更]]))</f>
        <v>https://itochucorp.sharepoint.com/sites/intra-tokgv-keihi</v>
      </c>
      <c r="U177" s="22" t="str">
        <f>IF(テーブル14[[#This Row],[変更種別]]="削除",
       "",
       IF(テーブル14[[#This Row],[keywords / 変更]]="",テーブル14[[#This Row],[keywords]],テーブル14[[#This Row],[keywords / 変更]]))</f>
        <v>[ "ワークフロー", "出張", "国内出張", "海外出張", "経費精算", "精算", "市内交通費", "事前申請", "３ｋ", "3k", "海外旅費", "追加入力者", "追加入力", "国内旅費", "代理起票", "チケット仮払い" ]</v>
      </c>
      <c r="V177" s="22" t="str">
        <f>IF(テーブル14[[#This Row],[変更種別]]="削除",
       "",
       IF(テーブル14[[#This Row],[comment]]="","",テーブル14[[#This Row],[comment]]))</f>
        <v/>
      </c>
      <c r="W177" s="22" t="str">
        <f>IF(テーブル14[[#This Row],[変更種別]]="削除",
       "",
       IF(テーブル14[[#This Row],[priority / 変更後]]="",テーブル14[[#This Row],[priority]],テーブル14[[#This Row],[priority / 変更後]]))</f>
        <v>1</v>
      </c>
      <c r="X177"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経費精算
■ URL
　 https://itochucorp.sharepoint.com/sites/intra-tokgv-keihi
■ KEYWORDS
　 [ "ワークフロー", "出張", "国内出張", "海外出張", "経費精算", "精算", "市内交通費", "事前申請", "３ｋ", "3k", "海外旅費", "追加入力者", "追加入力", "国内旅費", "代理起票", "チケット仮払い" ]
</v>
      </c>
    </row>
    <row r="178" spans="1:24" ht="99.75" x14ac:dyDescent="0.25">
      <c r="A178" s="24"/>
      <c r="B178" s="24"/>
      <c r="C178" s="24"/>
      <c r="D178" s="24"/>
      <c r="E178" s="24"/>
      <c r="F178" s="24"/>
      <c r="G178" s="24"/>
      <c r="H178" s="24"/>
      <c r="I178" s="25" t="s">
        <v>1087</v>
      </c>
      <c r="J178" s="25" t="s">
        <v>1095</v>
      </c>
      <c r="K178" s="25" t="s">
        <v>1096</v>
      </c>
      <c r="L178" s="25" t="s">
        <v>1114</v>
      </c>
      <c r="M178" s="25"/>
      <c r="N178" s="25" t="s">
        <v>1191</v>
      </c>
      <c r="O178" s="25"/>
      <c r="P178" s="26" t="str">
        <f>IF(_xlfn.CONCAT(テーブル14[[#This Row],[変更種別]:[keywords / 変更]])&lt;&gt;"","","*")</f>
        <v/>
      </c>
      <c r="Q178" s="26" t="str">
        <f>IF(テーブル14[[#This Row],[変更種別]]="削除","2",IF(テーブル14[[#This Row],[_ex2]]="","1",""))</f>
        <v>1</v>
      </c>
      <c r="R178" s="26" t="str">
        <f>IF(テーブル14[[#This Row],[変更種別]]="新規","",テーブル14[[#This Row],[id]])</f>
        <v/>
      </c>
      <c r="S178" s="26" t="str">
        <f>IF(テーブル14[[#This Row],[変更種別]]="削除",
       "",
       IF(テーブル14[[#This Row],[title / 変更]]="",テーブル14[[#This Row],[title]],テーブル14[[#This Row],[title / 変更]]))</f>
        <v>経費精算 FAQ</v>
      </c>
      <c r="T178" s="26" t="str">
        <f>IF(テーブル14[[#This Row],[変更種別]]="削除",
       "",
       IF(テーブル14[[#This Row],[url / 変更]]="",テーブル14[[#This Row],[url]],テーブル14[[#This Row],[url / 変更]]))</f>
        <v>https://itochucorp.sharepoint.com/sites/intra-tokgv-keihi/Lists/keihi_faq</v>
      </c>
      <c r="U178" s="26" t="str">
        <f>IF(テーブル14[[#This Row],[変更種別]]="削除",
       "",
       IF(テーブル14[[#This Row],[keywords / 変更]]="",テーブル14[[#This Row],[keywords]],テーブル14[[#This Row],[keywords / 変更]]))</f>
        <v>[ "出張", "国内出張", "海外出張", "経費精算", "精算", "市内交通費", "事前申請", "３ｋ", "3k", "海外旅費", "追加入力者", "追加入力", "国内旅費", "代理起票", "チケット仮払い"  ]</v>
      </c>
      <c r="V178" s="26" t="str">
        <f>IF(テーブル14[[#This Row],[変更種別]]="削除",
       "",
       IF(テーブル14[[#This Row],[comment]]="","",テーブル14[[#This Row],[comment]]))</f>
        <v/>
      </c>
      <c r="W178" s="26" t="str">
        <f>IF(テーブル14[[#This Row],[変更種別]]="削除",
       "",
       IF(テーブル14[[#This Row],[priority / 変更後]]="",テーブル14[[#This Row],[priority]],テーブル14[[#This Row],[priority / 変更後]]))</f>
        <v>2</v>
      </c>
      <c r="X178"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経費精算 FAQ
■ URL
　 https://itochucorp.sharepoint.com/sites/intra-tokgv-keihi/Lists/keihi_faq
■ KEYWORDS
　 [ "出張", "国内出張", "海外出張", "経費精算", "精算", "市内交通費", "事前申請", "３ｋ", "3k", "海外旅費", "追加入力者", "追加入力", "国内旅費", "代理起票", "チケット仮払い"  ]
</v>
      </c>
    </row>
    <row r="179" spans="1:24" s="3" customFormat="1" ht="99.75" x14ac:dyDescent="0.25">
      <c r="A179" s="24"/>
      <c r="B179" s="24"/>
      <c r="C179" s="24"/>
      <c r="D179" s="24"/>
      <c r="E179" s="24"/>
      <c r="F179" s="24"/>
      <c r="G179" s="24"/>
      <c r="H179" s="24"/>
      <c r="I179" s="25" t="s">
        <v>1087</v>
      </c>
      <c r="J179" s="25" t="s">
        <v>1197</v>
      </c>
      <c r="K179" s="25" t="s">
        <v>1199</v>
      </c>
      <c r="L179" s="25" t="s">
        <v>1198</v>
      </c>
      <c r="M179" s="25"/>
      <c r="N179" s="25" t="s">
        <v>1200</v>
      </c>
      <c r="O179" s="25"/>
      <c r="P179" s="26" t="str">
        <f>IF(_xlfn.CONCAT(テーブル14[[#This Row],[変更種別]:[keywords / 変更]])&lt;&gt;"","","*")</f>
        <v/>
      </c>
      <c r="Q179" s="26" t="str">
        <f>IF(テーブル14[[#This Row],[変更種別]]="削除","2",IF(テーブル14[[#This Row],[_ex2]]="","1",""))</f>
        <v>1</v>
      </c>
      <c r="R179" s="26" t="str">
        <f>IF(テーブル14[[#This Row],[変更種別]]="新規","",テーブル14[[#This Row],[id]])</f>
        <v/>
      </c>
      <c r="S179" s="26" t="str">
        <f>IF(テーブル14[[#This Row],[変更種別]]="削除",
       "",
       IF(テーブル14[[#This Row],[title / 変更]]="",テーブル14[[#This Row],[title]],テーブル14[[#This Row],[title / 変更]]))</f>
        <v>医療費通知</v>
      </c>
      <c r="T179" s="26" t="str">
        <f>IF(テーブル14[[#This Row],[変更種別]]="削除",
       "",
       IF(テーブル14[[#This Row],[url / 変更]]="",テーブル14[[#This Row],[url]],テーブル14[[#This Row],[url / 変更]]))</f>
        <v>https://hrportal.itochu.co.jp/shain/kenpoiryouhi/userTop.aspx</v>
      </c>
      <c r="U179" s="26" t="str">
        <f>IF(テーブル14[[#This Row],[変更種別]]="削除",
       "",
       IF(テーブル14[[#This Row],[keywords / 変更]]="",テーブル14[[#This Row],[keywords]],テーブル14[[#This Row],[keywords / 変更]]))</f>
        <v>[ "医療費"  ]</v>
      </c>
      <c r="V179" s="26" t="str">
        <f>IF(テーブル14[[#This Row],[変更種別]]="削除",
       "",
       IF(テーブル14[[#This Row],[comment]]="","",テーブル14[[#This Row],[comment]]))</f>
        <v/>
      </c>
      <c r="W179" s="26" t="str">
        <f>IF(テーブル14[[#This Row],[変更種別]]="削除",
       "",
       IF(テーブル14[[#This Row],[priority / 変更後]]="",テーブル14[[#This Row],[priority]],テーブル14[[#This Row],[priority / 変更後]]))</f>
        <v>2</v>
      </c>
      <c r="X179" s="23" t="str">
        <f>IF(テーブル14[[#This Row],[変更種別]]="新規",
       _xlfn.CONCAT(
              IF(テーブル14[[#This Row],[title / 変更]]&lt;&gt;"",
                   _xlfn.CONCAT("■ TITLE",CHAR(10),"　 ",テーブル14[[#This Row],[title / 変更]],CHAR(10)),""),
             IF(テーブル14[[#This Row],[url / 変更]]&lt;&gt;"",
                  _xlfn.CONCAT("■ URL",CHAR(10),"　 ",テーブル14[[#This Row],[url / 変更]],CHAR(10)),""),
             IF(テーブル14[[#This Row],[keywords / 変更]]&lt;&gt;"",
                   _xlfn.CONCAT("■ KEYWORDS",CHAR(10),"　 ",テーブル14[[#This Row],[keywords / 変更]],CHAR(10)),"")),
       _xlfn.CONCAT(
              IF(テーブル14[[#This Row],[title / 変更]]&lt;&gt;"",
                   _xlfn.CONCAT("■ TITLE",CHAR(10),"　前: ",テーブル14[[#This Row],[title]],CHAR(10),"　後: ",テーブル14[[#This Row],[title / 変更]],CHAR(10)),""),
             IF(テーブル14[[#This Row],[url / 変更]]&lt;&gt;"",
                  _xlfn.CONCAT("■ URL",CHAR(10),"　前: ",テーブル14[[#This Row],[url]],CHAR(10),"　後: ",テーブル14[[#This Row],[url / 変更]],CHAR(10)),""),
             IF(テーブル14[[#This Row],[keywords / 変更]]&lt;&gt;"",
                   _xlfn.CONCAT("■ KEYWORDS",CHAR(10),"　前: ",テーブル14[[#This Row],[keywords]],CHAR(10),"　後: ",テーブル14[[#This Row],[keywords / 変更]],CHAR(10)),"")))</f>
        <v xml:space="preserve">■ TITLE
　 医療費通知
■ URL
　 https://hrportal.itochu.co.jp/shain/kenpoiryouhi/userTop.aspx
■ KEYWORDS
　 [ "医療費"  ]
</v>
      </c>
    </row>
  </sheetData>
  <phoneticPr fontId="6"/>
  <dataValidations count="1">
    <dataValidation type="list" allowBlank="1" showInputMessage="1" showErrorMessage="1" sqref="I5:I179" xr:uid="{D431E7DD-91E3-4BBB-8F81-19DF93A0DB12}">
      <formula1>"変更,新規,削除"</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7EFAE-C6A4-4525-BE7A-5980BA4C62A2}">
  <dimension ref="A1:D388"/>
  <sheetViews>
    <sheetView zoomScale="80" zoomScaleNormal="80" workbookViewId="0"/>
  </sheetViews>
  <sheetFormatPr defaultColWidth="8.88671875" defaultRowHeight="15.75" x14ac:dyDescent="0.25"/>
  <cols>
    <col min="1" max="1" width="26.33203125" style="28" bestFit="1" customWidth="1"/>
    <col min="2" max="2" width="62.44140625" style="28" customWidth="1"/>
    <col min="3" max="3" width="51.6640625" style="28" bestFit="1" customWidth="1"/>
    <col min="4" max="4" width="43.88671875" style="28" bestFit="1" customWidth="1"/>
    <col min="5" max="16384" width="8.88671875" style="28"/>
  </cols>
  <sheetData>
    <row r="1" spans="1:4" x14ac:dyDescent="0.25">
      <c r="A1" s="28" t="s">
        <v>1366</v>
      </c>
    </row>
    <row r="2" spans="1:4" x14ac:dyDescent="0.25">
      <c r="A2" s="28" t="s">
        <v>1367</v>
      </c>
    </row>
    <row r="3" spans="1:4" x14ac:dyDescent="0.25">
      <c r="A3" s="28" t="s">
        <v>1201</v>
      </c>
      <c r="B3" s="28" t="s">
        <v>1202</v>
      </c>
      <c r="C3" s="28" t="s">
        <v>1203</v>
      </c>
      <c r="D3" s="28" t="s">
        <v>1204</v>
      </c>
    </row>
    <row r="4" spans="1:4" x14ac:dyDescent="0.25">
      <c r="A4" s="29" t="s">
        <v>1205</v>
      </c>
      <c r="B4" s="30" t="s">
        <v>380</v>
      </c>
      <c r="C4" s="30" t="s">
        <v>1115</v>
      </c>
      <c r="D4" s="30"/>
    </row>
    <row r="5" spans="1:4" x14ac:dyDescent="0.25">
      <c r="A5" s="29" t="s">
        <v>1206</v>
      </c>
      <c r="B5" s="30" t="s">
        <v>380</v>
      </c>
      <c r="C5" s="30" t="s">
        <v>1115</v>
      </c>
      <c r="D5" s="30"/>
    </row>
    <row r="6" spans="1:4" x14ac:dyDescent="0.25">
      <c r="A6" s="29" t="s">
        <v>1207</v>
      </c>
      <c r="B6" s="30" t="s">
        <v>380</v>
      </c>
      <c r="C6" s="30" t="s">
        <v>1115</v>
      </c>
      <c r="D6" s="30"/>
    </row>
    <row r="7" spans="1:4" x14ac:dyDescent="0.25">
      <c r="A7" s="29" t="s">
        <v>1208</v>
      </c>
      <c r="B7" s="30" t="s">
        <v>380</v>
      </c>
      <c r="C7" s="30" t="s">
        <v>1115</v>
      </c>
      <c r="D7" s="30"/>
    </row>
    <row r="8" spans="1:4" x14ac:dyDescent="0.25">
      <c r="A8" s="29" t="s">
        <v>1209</v>
      </c>
      <c r="B8" s="30" t="s">
        <v>374</v>
      </c>
      <c r="C8" s="30" t="s">
        <v>380</v>
      </c>
      <c r="D8" s="30"/>
    </row>
    <row r="9" spans="1:4" x14ac:dyDescent="0.25">
      <c r="A9" s="29" t="s">
        <v>1210</v>
      </c>
      <c r="B9" s="30" t="s">
        <v>380</v>
      </c>
      <c r="C9" s="30" t="s">
        <v>1115</v>
      </c>
      <c r="D9" s="30"/>
    </row>
    <row r="10" spans="1:4" x14ac:dyDescent="0.25">
      <c r="A10" s="29" t="s">
        <v>1211</v>
      </c>
      <c r="B10" s="30" t="s">
        <v>380</v>
      </c>
      <c r="C10" s="30" t="s">
        <v>1115</v>
      </c>
      <c r="D10" s="30"/>
    </row>
    <row r="11" spans="1:4" x14ac:dyDescent="0.25">
      <c r="A11" s="29" t="s">
        <v>1212</v>
      </c>
      <c r="B11" s="30" t="s">
        <v>374</v>
      </c>
      <c r="C11" s="30" t="s">
        <v>1121</v>
      </c>
      <c r="D11" s="30"/>
    </row>
    <row r="12" spans="1:4" x14ac:dyDescent="0.25">
      <c r="A12" s="29" t="s">
        <v>1213</v>
      </c>
      <c r="B12" s="30" t="s">
        <v>374</v>
      </c>
      <c r="C12" s="30" t="s">
        <v>1121</v>
      </c>
      <c r="D12" s="30"/>
    </row>
    <row r="13" spans="1:4" x14ac:dyDescent="0.25">
      <c r="A13" s="29" t="s">
        <v>1214</v>
      </c>
      <c r="B13" s="30" t="s">
        <v>374</v>
      </c>
      <c r="C13" s="30" t="s">
        <v>1121</v>
      </c>
      <c r="D13" s="30" t="s">
        <v>1697</v>
      </c>
    </row>
    <row r="14" spans="1:4" x14ac:dyDescent="0.25">
      <c r="A14" s="29" t="s">
        <v>1215</v>
      </c>
      <c r="B14" s="30" t="s">
        <v>380</v>
      </c>
      <c r="C14" s="30" t="s">
        <v>1115</v>
      </c>
      <c r="D14" s="30"/>
    </row>
    <row r="15" spans="1:4" x14ac:dyDescent="0.25">
      <c r="A15" s="29" t="s">
        <v>1216</v>
      </c>
      <c r="B15" s="30" t="s">
        <v>380</v>
      </c>
      <c r="C15" s="30" t="s">
        <v>1115</v>
      </c>
      <c r="D15" s="30"/>
    </row>
    <row r="16" spans="1:4" x14ac:dyDescent="0.25">
      <c r="A16" s="29" t="s">
        <v>1217</v>
      </c>
      <c r="B16" s="30" t="s">
        <v>380</v>
      </c>
      <c r="C16" s="30" t="s">
        <v>1115</v>
      </c>
      <c r="D16" s="30"/>
    </row>
    <row r="17" spans="1:4" x14ac:dyDescent="0.25">
      <c r="A17" s="29" t="s">
        <v>1218</v>
      </c>
      <c r="B17" s="30" t="s">
        <v>380</v>
      </c>
      <c r="C17" s="30" t="s">
        <v>1115</v>
      </c>
      <c r="D17" s="30"/>
    </row>
    <row r="18" spans="1:4" x14ac:dyDescent="0.25">
      <c r="A18" s="29" t="s">
        <v>1219</v>
      </c>
      <c r="B18" s="30" t="s">
        <v>380</v>
      </c>
      <c r="C18" s="30" t="s">
        <v>1115</v>
      </c>
      <c r="D18" s="30"/>
    </row>
    <row r="19" spans="1:4" x14ac:dyDescent="0.25">
      <c r="A19" s="29" t="s">
        <v>1220</v>
      </c>
      <c r="B19" s="30" t="s">
        <v>439</v>
      </c>
      <c r="C19" s="30" t="s">
        <v>1123</v>
      </c>
      <c r="D19" s="30"/>
    </row>
    <row r="20" spans="1:4" x14ac:dyDescent="0.25">
      <c r="A20" s="29" t="s">
        <v>1221</v>
      </c>
      <c r="B20" s="30" t="s">
        <v>1123</v>
      </c>
      <c r="C20" s="30"/>
      <c r="D20" s="30"/>
    </row>
    <row r="21" spans="1:4" x14ac:dyDescent="0.25">
      <c r="A21" s="29" t="s">
        <v>1700</v>
      </c>
      <c r="B21" s="30" t="s">
        <v>380</v>
      </c>
      <c r="C21" s="30" t="s">
        <v>1115</v>
      </c>
      <c r="D21" s="30"/>
    </row>
    <row r="22" spans="1:4" x14ac:dyDescent="0.25">
      <c r="A22" s="29" t="s">
        <v>1222</v>
      </c>
      <c r="B22" s="30" t="s">
        <v>380</v>
      </c>
      <c r="C22" s="30" t="s">
        <v>1115</v>
      </c>
      <c r="D22" s="30"/>
    </row>
    <row r="23" spans="1:4" x14ac:dyDescent="0.25">
      <c r="A23" s="29" t="s">
        <v>1223</v>
      </c>
      <c r="B23" s="30" t="s">
        <v>380</v>
      </c>
      <c r="C23" s="30" t="s">
        <v>1115</v>
      </c>
      <c r="D23" s="30"/>
    </row>
    <row r="24" spans="1:4" x14ac:dyDescent="0.25">
      <c r="A24" s="29" t="s">
        <v>1224</v>
      </c>
      <c r="B24" s="30" t="s">
        <v>380</v>
      </c>
      <c r="C24" s="30" t="s">
        <v>1115</v>
      </c>
      <c r="D24" s="30"/>
    </row>
    <row r="25" spans="1:4" x14ac:dyDescent="0.25">
      <c r="A25" s="29" t="s">
        <v>1225</v>
      </c>
      <c r="B25" s="30" t="s">
        <v>1226</v>
      </c>
      <c r="C25" s="30" t="s">
        <v>1123</v>
      </c>
      <c r="D25" s="30"/>
    </row>
    <row r="26" spans="1:4" x14ac:dyDescent="0.25">
      <c r="A26" s="29" t="s">
        <v>1227</v>
      </c>
      <c r="B26" s="30" t="s">
        <v>1226</v>
      </c>
      <c r="C26" s="30" t="s">
        <v>1123</v>
      </c>
      <c r="D26" s="30"/>
    </row>
    <row r="27" spans="1:4" x14ac:dyDescent="0.25">
      <c r="A27" s="29" t="s">
        <v>679</v>
      </c>
      <c r="B27" s="30" t="s">
        <v>1226</v>
      </c>
      <c r="C27" s="30" t="s">
        <v>1123</v>
      </c>
      <c r="D27" s="30"/>
    </row>
    <row r="28" spans="1:4" x14ac:dyDescent="0.25">
      <c r="A28" s="29" t="s">
        <v>1228</v>
      </c>
      <c r="B28" s="30" t="s">
        <v>1123</v>
      </c>
      <c r="C28" s="30"/>
      <c r="D28" s="30"/>
    </row>
    <row r="29" spans="1:4" x14ac:dyDescent="0.25">
      <c r="A29" s="29">
        <v>110</v>
      </c>
      <c r="B29" s="30" t="s">
        <v>1229</v>
      </c>
      <c r="C29" s="30"/>
      <c r="D29" s="30"/>
    </row>
    <row r="30" spans="1:4" x14ac:dyDescent="0.25">
      <c r="A30" s="29" t="s">
        <v>1230</v>
      </c>
      <c r="B30" s="30" t="s">
        <v>1229</v>
      </c>
      <c r="C30" s="30"/>
      <c r="D30" s="30"/>
    </row>
    <row r="31" spans="1:4" x14ac:dyDescent="0.25">
      <c r="A31" s="29" t="s">
        <v>1231</v>
      </c>
      <c r="B31" s="30" t="s">
        <v>1229</v>
      </c>
      <c r="C31" s="30"/>
      <c r="D31" s="30"/>
    </row>
    <row r="32" spans="1:4" x14ac:dyDescent="0.25">
      <c r="A32" s="29" t="s">
        <v>1232</v>
      </c>
      <c r="B32" s="30" t="s">
        <v>1233</v>
      </c>
      <c r="C32" s="30" t="s">
        <v>1234</v>
      </c>
      <c r="D32" s="30"/>
    </row>
    <row r="33" spans="1:4" x14ac:dyDescent="0.25">
      <c r="A33" s="29" t="s">
        <v>1235</v>
      </c>
      <c r="B33" s="30" t="s">
        <v>1233</v>
      </c>
      <c r="C33" s="30" t="s">
        <v>1234</v>
      </c>
      <c r="D33" s="30"/>
    </row>
    <row r="34" spans="1:4" x14ac:dyDescent="0.25">
      <c r="A34" s="29" t="s">
        <v>1236</v>
      </c>
      <c r="B34" s="30" t="s">
        <v>1233</v>
      </c>
      <c r="C34" s="30" t="s">
        <v>1234</v>
      </c>
      <c r="D34" s="30"/>
    </row>
    <row r="35" spans="1:4" x14ac:dyDescent="0.25">
      <c r="A35" s="29" t="s">
        <v>1237</v>
      </c>
      <c r="B35" s="30" t="s">
        <v>1233</v>
      </c>
      <c r="C35" s="30" t="s">
        <v>1234</v>
      </c>
      <c r="D35" s="30"/>
    </row>
    <row r="36" spans="1:4" x14ac:dyDescent="0.25">
      <c r="A36" s="29" t="s">
        <v>1238</v>
      </c>
      <c r="B36" s="30" t="s">
        <v>1239</v>
      </c>
      <c r="C36" s="30"/>
      <c r="D36" s="30"/>
    </row>
    <row r="37" spans="1:4" x14ac:dyDescent="0.25">
      <c r="A37" s="29" t="s">
        <v>1240</v>
      </c>
      <c r="B37" s="30" t="s">
        <v>1239</v>
      </c>
      <c r="C37" s="30"/>
      <c r="D37" s="30"/>
    </row>
    <row r="38" spans="1:4" x14ac:dyDescent="0.25">
      <c r="A38" s="29" t="s">
        <v>1241</v>
      </c>
      <c r="B38" s="30" t="s">
        <v>703</v>
      </c>
      <c r="C38" s="30"/>
      <c r="D38" s="30"/>
    </row>
    <row r="39" spans="1:4" x14ac:dyDescent="0.25">
      <c r="A39" s="29" t="s">
        <v>1242</v>
      </c>
      <c r="B39" s="30" t="s">
        <v>703</v>
      </c>
      <c r="C39" s="30"/>
      <c r="D39" s="30"/>
    </row>
    <row r="40" spans="1:4" x14ac:dyDescent="0.25">
      <c r="A40" s="29" t="s">
        <v>1243</v>
      </c>
      <c r="B40" s="30" t="s">
        <v>1185</v>
      </c>
      <c r="C40" s="30" t="s">
        <v>22</v>
      </c>
      <c r="D40" s="30"/>
    </row>
    <row r="41" spans="1:4" x14ac:dyDescent="0.25">
      <c r="A41" s="29" t="s">
        <v>1244</v>
      </c>
      <c r="B41" s="30" t="s">
        <v>1185</v>
      </c>
      <c r="C41" s="30" t="s">
        <v>22</v>
      </c>
      <c r="D41" s="30"/>
    </row>
    <row r="42" spans="1:4" x14ac:dyDescent="0.25">
      <c r="A42" s="29" t="s">
        <v>1245</v>
      </c>
      <c r="B42" s="30" t="s">
        <v>1246</v>
      </c>
      <c r="C42" s="30"/>
      <c r="D42" s="30"/>
    </row>
    <row r="43" spans="1:4" x14ac:dyDescent="0.25">
      <c r="A43" s="29" t="s">
        <v>1247</v>
      </c>
      <c r="B43" s="30" t="s">
        <v>1246</v>
      </c>
      <c r="C43" s="30"/>
      <c r="D43" s="30"/>
    </row>
    <row r="44" spans="1:4" x14ac:dyDescent="0.25">
      <c r="A44" s="29" t="s">
        <v>1248</v>
      </c>
      <c r="B44" s="30" t="s">
        <v>310</v>
      </c>
      <c r="C44" s="30" t="s">
        <v>307</v>
      </c>
      <c r="D44" s="30" t="s">
        <v>313</v>
      </c>
    </row>
    <row r="45" spans="1:4" x14ac:dyDescent="0.25">
      <c r="A45" s="29" t="s">
        <v>1131</v>
      </c>
      <c r="B45" s="30" t="s">
        <v>310</v>
      </c>
      <c r="C45" s="30" t="s">
        <v>307</v>
      </c>
      <c r="D45" s="30" t="s">
        <v>313</v>
      </c>
    </row>
    <row r="46" spans="1:4" x14ac:dyDescent="0.25">
      <c r="A46" s="29" t="s">
        <v>707</v>
      </c>
      <c r="B46" s="30" t="s">
        <v>34</v>
      </c>
      <c r="C46" s="30" t="s">
        <v>31</v>
      </c>
      <c r="D46" s="30"/>
    </row>
    <row r="47" spans="1:4" x14ac:dyDescent="0.25">
      <c r="A47" s="29" t="s">
        <v>1249</v>
      </c>
      <c r="B47" s="30" t="s">
        <v>34</v>
      </c>
      <c r="C47" s="30" t="s">
        <v>31</v>
      </c>
      <c r="D47" s="30"/>
    </row>
    <row r="48" spans="1:4" x14ac:dyDescent="0.25">
      <c r="A48" s="29" t="s">
        <v>1250</v>
      </c>
      <c r="B48" s="30" t="s">
        <v>1251</v>
      </c>
      <c r="C48" s="30"/>
      <c r="D48" s="30"/>
    </row>
    <row r="49" spans="1:4" x14ac:dyDescent="0.25">
      <c r="A49" s="29" t="s">
        <v>1252</v>
      </c>
      <c r="B49" s="30" t="s">
        <v>1251</v>
      </c>
      <c r="C49" s="30"/>
      <c r="D49" s="30"/>
    </row>
    <row r="50" spans="1:4" x14ac:dyDescent="0.25">
      <c r="A50" s="29" t="s">
        <v>1253</v>
      </c>
      <c r="B50" s="30" t="s">
        <v>1254</v>
      </c>
      <c r="C50" s="30" t="s">
        <v>1255</v>
      </c>
      <c r="D50" s="30" t="s">
        <v>1256</v>
      </c>
    </row>
    <row r="51" spans="1:4" x14ac:dyDescent="0.25">
      <c r="A51" s="29" t="s">
        <v>1257</v>
      </c>
      <c r="B51" s="30" t="s">
        <v>1254</v>
      </c>
      <c r="C51" s="30" t="s">
        <v>1255</v>
      </c>
      <c r="D51" s="30" t="s">
        <v>1256</v>
      </c>
    </row>
    <row r="52" spans="1:4" x14ac:dyDescent="0.25">
      <c r="A52" s="29" t="s">
        <v>1258</v>
      </c>
      <c r="B52" s="30" t="s">
        <v>1259</v>
      </c>
      <c r="C52" s="30" t="s">
        <v>1260</v>
      </c>
      <c r="D52" s="30"/>
    </row>
    <row r="53" spans="1:4" x14ac:dyDescent="0.25">
      <c r="A53" s="29" t="s">
        <v>1261</v>
      </c>
      <c r="B53" s="30" t="s">
        <v>1259</v>
      </c>
      <c r="C53" s="30" t="s">
        <v>1260</v>
      </c>
      <c r="D53" s="30"/>
    </row>
    <row r="54" spans="1:4" x14ac:dyDescent="0.25">
      <c r="A54" s="29" t="s">
        <v>1262</v>
      </c>
      <c r="B54" s="30" t="s">
        <v>1263</v>
      </c>
      <c r="C54" s="30"/>
      <c r="D54" s="30"/>
    </row>
    <row r="55" spans="1:4" x14ac:dyDescent="0.25">
      <c r="A55" s="29" t="s">
        <v>1264</v>
      </c>
      <c r="B55" s="30" t="s">
        <v>1263</v>
      </c>
      <c r="C55" s="30"/>
      <c r="D55" s="30"/>
    </row>
    <row r="56" spans="1:4" x14ac:dyDescent="0.25">
      <c r="A56" s="29" t="s">
        <v>1265</v>
      </c>
      <c r="B56" s="30" t="s">
        <v>1259</v>
      </c>
      <c r="C56" s="30" t="s">
        <v>1260</v>
      </c>
      <c r="D56" s="30"/>
    </row>
    <row r="57" spans="1:4" x14ac:dyDescent="0.25">
      <c r="A57" s="29" t="s">
        <v>1266</v>
      </c>
      <c r="B57" s="30" t="s">
        <v>1259</v>
      </c>
      <c r="C57" s="30" t="s">
        <v>1260</v>
      </c>
      <c r="D57" s="30"/>
    </row>
    <row r="58" spans="1:4" x14ac:dyDescent="0.25">
      <c r="A58" s="29" t="s">
        <v>1267</v>
      </c>
      <c r="B58" s="30" t="s">
        <v>1268</v>
      </c>
      <c r="C58" s="30"/>
      <c r="D58" s="30"/>
    </row>
    <row r="59" spans="1:4" x14ac:dyDescent="0.25">
      <c r="A59" s="29" t="s">
        <v>1269</v>
      </c>
      <c r="B59" s="30" t="s">
        <v>1268</v>
      </c>
      <c r="C59" s="30"/>
      <c r="D59" s="30"/>
    </row>
    <row r="60" spans="1:4" x14ac:dyDescent="0.25">
      <c r="A60" s="29" t="s">
        <v>1270</v>
      </c>
      <c r="B60" s="30" t="s">
        <v>1239</v>
      </c>
      <c r="C60" s="30"/>
      <c r="D60" s="30"/>
    </row>
    <row r="61" spans="1:4" x14ac:dyDescent="0.25">
      <c r="A61" s="29" t="s">
        <v>1271</v>
      </c>
      <c r="B61" s="30" t="s">
        <v>1239</v>
      </c>
      <c r="C61" s="30"/>
      <c r="D61" s="30"/>
    </row>
    <row r="62" spans="1:4" x14ac:dyDescent="0.25">
      <c r="A62" s="29" t="s">
        <v>1272</v>
      </c>
      <c r="B62" s="30" t="s">
        <v>703</v>
      </c>
      <c r="C62" s="30"/>
      <c r="D62" s="30"/>
    </row>
    <row r="63" spans="1:4" x14ac:dyDescent="0.25">
      <c r="A63" s="29" t="s">
        <v>1273</v>
      </c>
      <c r="B63" s="30" t="s">
        <v>703</v>
      </c>
      <c r="C63" s="30"/>
      <c r="D63" s="30"/>
    </row>
    <row r="64" spans="1:4" x14ac:dyDescent="0.25">
      <c r="A64" s="29" t="s">
        <v>1274</v>
      </c>
      <c r="B64" s="30" t="s">
        <v>1275</v>
      </c>
      <c r="C64" s="30"/>
      <c r="D64" s="30"/>
    </row>
    <row r="65" spans="1:4" x14ac:dyDescent="0.25">
      <c r="A65" s="29" t="s">
        <v>1276</v>
      </c>
      <c r="B65" s="30" t="s">
        <v>1275</v>
      </c>
      <c r="C65" s="30"/>
      <c r="D65" s="30"/>
    </row>
    <row r="66" spans="1:4" x14ac:dyDescent="0.25">
      <c r="A66" s="29" t="s">
        <v>1277</v>
      </c>
      <c r="B66" s="30" t="s">
        <v>1278</v>
      </c>
      <c r="C66" s="30"/>
      <c r="D66" s="30"/>
    </row>
    <row r="67" spans="1:4" x14ac:dyDescent="0.25">
      <c r="A67" s="29" t="s">
        <v>1279</v>
      </c>
      <c r="B67" s="30" t="s">
        <v>1278</v>
      </c>
      <c r="C67" s="30"/>
      <c r="D67" s="30"/>
    </row>
    <row r="68" spans="1:4" x14ac:dyDescent="0.25">
      <c r="A68" s="29" t="s">
        <v>1280</v>
      </c>
      <c r="B68" s="30" t="s">
        <v>1281</v>
      </c>
      <c r="C68" s="30" t="s">
        <v>1282</v>
      </c>
      <c r="D68" s="30"/>
    </row>
    <row r="69" spans="1:4" x14ac:dyDescent="0.25">
      <c r="A69" s="29" t="s">
        <v>1283</v>
      </c>
      <c r="B69" s="30" t="s">
        <v>1281</v>
      </c>
      <c r="C69" s="30" t="s">
        <v>1282</v>
      </c>
      <c r="D69" s="30"/>
    </row>
    <row r="70" spans="1:4" x14ac:dyDescent="0.25">
      <c r="A70" s="29" t="s">
        <v>1284</v>
      </c>
      <c r="B70" s="30" t="s">
        <v>1281</v>
      </c>
      <c r="C70" s="30" t="s">
        <v>1282</v>
      </c>
      <c r="D70" s="30"/>
    </row>
    <row r="71" spans="1:4" x14ac:dyDescent="0.25">
      <c r="A71" s="29" t="s">
        <v>1285</v>
      </c>
      <c r="B71" s="30" t="s">
        <v>1281</v>
      </c>
      <c r="C71" s="30" t="s">
        <v>1282</v>
      </c>
      <c r="D71" s="30"/>
    </row>
    <row r="72" spans="1:4" x14ac:dyDescent="0.25">
      <c r="A72" s="29" t="s">
        <v>1286</v>
      </c>
      <c r="B72" s="30" t="s">
        <v>1281</v>
      </c>
      <c r="C72" s="30" t="s">
        <v>1282</v>
      </c>
      <c r="D72" s="30"/>
    </row>
    <row r="73" spans="1:4" x14ac:dyDescent="0.25">
      <c r="A73" s="29" t="s">
        <v>1287</v>
      </c>
      <c r="B73" s="30" t="s">
        <v>1281</v>
      </c>
      <c r="C73" s="30" t="s">
        <v>1282</v>
      </c>
      <c r="D73" s="30"/>
    </row>
    <row r="74" spans="1:4" x14ac:dyDescent="0.25">
      <c r="A74" s="29" t="s">
        <v>1288</v>
      </c>
      <c r="B74" s="30" t="s">
        <v>1281</v>
      </c>
      <c r="C74" s="30" t="s">
        <v>1282</v>
      </c>
      <c r="D74" s="30"/>
    </row>
    <row r="75" spans="1:4" x14ac:dyDescent="0.25">
      <c r="A75" s="29" t="s">
        <v>1142</v>
      </c>
      <c r="B75" s="30" t="s">
        <v>1281</v>
      </c>
      <c r="C75" s="30" t="s">
        <v>1282</v>
      </c>
      <c r="D75" s="30"/>
    </row>
    <row r="76" spans="1:4" x14ac:dyDescent="0.25">
      <c r="A76" s="29" t="s">
        <v>1143</v>
      </c>
      <c r="B76" s="30" t="s">
        <v>1281</v>
      </c>
      <c r="C76" s="30" t="s">
        <v>1282</v>
      </c>
      <c r="D76" s="30"/>
    </row>
    <row r="77" spans="1:4" x14ac:dyDescent="0.25">
      <c r="A77" s="29" t="s">
        <v>1144</v>
      </c>
      <c r="B77" s="30" t="s">
        <v>1281</v>
      </c>
      <c r="C77" s="30" t="s">
        <v>1282</v>
      </c>
      <c r="D77" s="30"/>
    </row>
    <row r="78" spans="1:4" x14ac:dyDescent="0.25">
      <c r="A78" s="29" t="s">
        <v>1145</v>
      </c>
      <c r="B78" s="30" t="s">
        <v>1281</v>
      </c>
      <c r="C78" s="30" t="s">
        <v>1282</v>
      </c>
      <c r="D78" s="30"/>
    </row>
    <row r="79" spans="1:4" x14ac:dyDescent="0.25">
      <c r="A79" s="29" t="s">
        <v>1146</v>
      </c>
      <c r="B79" s="30" t="s">
        <v>1281</v>
      </c>
      <c r="C79" s="30" t="s">
        <v>1282</v>
      </c>
      <c r="D79" s="30"/>
    </row>
    <row r="80" spans="1:4" x14ac:dyDescent="0.25">
      <c r="A80" s="29" t="s">
        <v>720</v>
      </c>
      <c r="B80" s="30" t="s">
        <v>1289</v>
      </c>
      <c r="C80" s="30"/>
      <c r="D80" s="30"/>
    </row>
    <row r="81" spans="1:4" x14ac:dyDescent="0.25">
      <c r="A81" s="29" t="s">
        <v>1290</v>
      </c>
      <c r="B81" s="30" t="s">
        <v>1289</v>
      </c>
      <c r="C81" s="30"/>
      <c r="D81" s="30"/>
    </row>
    <row r="82" spans="1:4" x14ac:dyDescent="0.25">
      <c r="A82" s="29" t="s">
        <v>722</v>
      </c>
      <c r="B82" s="30" t="s">
        <v>1291</v>
      </c>
      <c r="C82" s="30" t="s">
        <v>1292</v>
      </c>
      <c r="D82" s="30" t="s">
        <v>1293</v>
      </c>
    </row>
    <row r="83" spans="1:4" x14ac:dyDescent="0.25">
      <c r="A83" s="29" t="s">
        <v>723</v>
      </c>
      <c r="B83" s="30" t="s">
        <v>1291</v>
      </c>
      <c r="C83" s="30" t="s">
        <v>1292</v>
      </c>
      <c r="D83" s="30" t="s">
        <v>1293</v>
      </c>
    </row>
    <row r="84" spans="1:4" x14ac:dyDescent="0.25">
      <c r="A84" s="29" t="s">
        <v>98</v>
      </c>
      <c r="B84" s="30" t="s">
        <v>1294</v>
      </c>
      <c r="C84" s="30"/>
      <c r="D84" s="30"/>
    </row>
    <row r="85" spans="1:4" x14ac:dyDescent="0.25">
      <c r="A85" s="29" t="s">
        <v>724</v>
      </c>
      <c r="B85" s="30" t="s">
        <v>1294</v>
      </c>
      <c r="C85" s="30"/>
      <c r="D85" s="30"/>
    </row>
    <row r="86" spans="1:4" x14ac:dyDescent="0.25">
      <c r="A86" s="29" t="s">
        <v>102</v>
      </c>
      <c r="B86" s="30" t="s">
        <v>1295</v>
      </c>
      <c r="C86" s="30"/>
      <c r="D86" s="30"/>
    </row>
    <row r="87" spans="1:4" x14ac:dyDescent="0.25">
      <c r="A87" s="29" t="s">
        <v>725</v>
      </c>
      <c r="B87" s="30" t="s">
        <v>1295</v>
      </c>
      <c r="C87" s="30"/>
      <c r="D87" s="30"/>
    </row>
    <row r="88" spans="1:4" x14ac:dyDescent="0.25">
      <c r="A88" s="29" t="s">
        <v>106</v>
      </c>
      <c r="B88" s="30" t="s">
        <v>1296</v>
      </c>
      <c r="C88" s="30"/>
      <c r="D88" s="30"/>
    </row>
    <row r="89" spans="1:4" x14ac:dyDescent="0.25">
      <c r="A89" s="29" t="s">
        <v>110</v>
      </c>
      <c r="B89" s="30" t="s">
        <v>1296</v>
      </c>
      <c r="C89" s="30"/>
      <c r="D89" s="30"/>
    </row>
    <row r="90" spans="1:4" x14ac:dyDescent="0.25">
      <c r="A90" s="29" t="s">
        <v>111</v>
      </c>
      <c r="B90" s="30" t="s">
        <v>1297</v>
      </c>
      <c r="C90" s="30" t="s">
        <v>1298</v>
      </c>
      <c r="D90" s="30"/>
    </row>
    <row r="91" spans="1:4" x14ac:dyDescent="0.25">
      <c r="A91" s="29" t="s">
        <v>726</v>
      </c>
      <c r="B91" s="30" t="s">
        <v>1297</v>
      </c>
      <c r="C91" s="30" t="s">
        <v>1298</v>
      </c>
      <c r="D91" s="30"/>
    </row>
    <row r="92" spans="1:4" x14ac:dyDescent="0.25">
      <c r="A92" s="29" t="s">
        <v>727</v>
      </c>
      <c r="B92" s="30" t="s">
        <v>1299</v>
      </c>
      <c r="C92" s="30"/>
      <c r="D92" s="30"/>
    </row>
    <row r="93" spans="1:4" x14ac:dyDescent="0.25">
      <c r="A93" s="29" t="s">
        <v>728</v>
      </c>
      <c r="B93" s="30" t="s">
        <v>1299</v>
      </c>
      <c r="C93" s="30"/>
      <c r="D93" s="30"/>
    </row>
    <row r="94" spans="1:4" x14ac:dyDescent="0.25">
      <c r="A94" s="29" t="s">
        <v>1147</v>
      </c>
      <c r="B94" s="30" t="s">
        <v>1299</v>
      </c>
      <c r="C94" s="30"/>
      <c r="D94" s="30"/>
    </row>
    <row r="95" spans="1:4" x14ac:dyDescent="0.25">
      <c r="A95" s="29" t="s">
        <v>1148</v>
      </c>
      <c r="B95" s="30" t="s">
        <v>1299</v>
      </c>
      <c r="C95" s="30"/>
      <c r="D95" s="30"/>
    </row>
    <row r="96" spans="1:4" x14ac:dyDescent="0.25">
      <c r="A96" s="29" t="s">
        <v>121</v>
      </c>
      <c r="B96" s="30" t="s">
        <v>1299</v>
      </c>
      <c r="C96" s="30"/>
      <c r="D96" s="30"/>
    </row>
    <row r="97" spans="1:4" x14ac:dyDescent="0.25">
      <c r="A97" s="29" t="s">
        <v>729</v>
      </c>
      <c r="B97" s="30" t="s">
        <v>1299</v>
      </c>
      <c r="C97" s="30"/>
      <c r="D97" s="30"/>
    </row>
    <row r="98" spans="1:4" x14ac:dyDescent="0.25">
      <c r="A98" s="29" t="s">
        <v>1300</v>
      </c>
      <c r="B98" s="30" t="s">
        <v>1301</v>
      </c>
      <c r="C98" s="30" t="s">
        <v>1302</v>
      </c>
      <c r="D98" s="30"/>
    </row>
    <row r="99" spans="1:4" x14ac:dyDescent="0.25">
      <c r="A99" s="29" t="s">
        <v>730</v>
      </c>
      <c r="B99" s="30" t="s">
        <v>1301</v>
      </c>
      <c r="C99" s="30" t="s">
        <v>1302</v>
      </c>
      <c r="D99" s="30"/>
    </row>
    <row r="100" spans="1:4" x14ac:dyDescent="0.25">
      <c r="A100" s="29" t="s">
        <v>129</v>
      </c>
      <c r="B100" s="30" t="s">
        <v>1303</v>
      </c>
      <c r="C100" s="30" t="s">
        <v>1304</v>
      </c>
      <c r="D100" s="30" t="s">
        <v>139</v>
      </c>
    </row>
    <row r="101" spans="1:4" x14ac:dyDescent="0.25">
      <c r="A101" s="29" t="s">
        <v>731</v>
      </c>
      <c r="B101" s="30" t="s">
        <v>1303</v>
      </c>
      <c r="C101" s="30" t="s">
        <v>1304</v>
      </c>
      <c r="D101" s="30" t="s">
        <v>139</v>
      </c>
    </row>
    <row r="102" spans="1:4" x14ac:dyDescent="0.25">
      <c r="A102" s="29" t="s">
        <v>142</v>
      </c>
      <c r="B102" s="30" t="s">
        <v>1239</v>
      </c>
      <c r="C102" s="30"/>
      <c r="D102" s="30"/>
    </row>
    <row r="103" spans="1:4" x14ac:dyDescent="0.25">
      <c r="A103" s="29" t="s">
        <v>732</v>
      </c>
      <c r="B103" s="30" t="s">
        <v>1239</v>
      </c>
      <c r="C103" s="30"/>
      <c r="D103" s="30"/>
    </row>
    <row r="104" spans="1:4" x14ac:dyDescent="0.25">
      <c r="A104" s="29" t="s">
        <v>1149</v>
      </c>
      <c r="B104" s="30" t="s">
        <v>1305</v>
      </c>
      <c r="C104" s="30"/>
      <c r="D104" s="30"/>
    </row>
    <row r="105" spans="1:4" x14ac:dyDescent="0.25">
      <c r="A105" s="29" t="s">
        <v>1150</v>
      </c>
      <c r="B105" s="30" t="s">
        <v>1305</v>
      </c>
      <c r="C105" s="30"/>
      <c r="D105" s="30"/>
    </row>
    <row r="106" spans="1:4" x14ac:dyDescent="0.25">
      <c r="A106" s="29" t="s">
        <v>145</v>
      </c>
      <c r="B106" s="30" t="s">
        <v>1306</v>
      </c>
      <c r="C106" s="30"/>
      <c r="D106" s="30"/>
    </row>
    <row r="107" spans="1:4" x14ac:dyDescent="0.25">
      <c r="A107" s="29" t="s">
        <v>734</v>
      </c>
      <c r="B107" s="30" t="s">
        <v>1306</v>
      </c>
      <c r="C107" s="30"/>
      <c r="D107" s="30"/>
    </row>
    <row r="108" spans="1:4" x14ac:dyDescent="0.25">
      <c r="A108" s="29" t="s">
        <v>149</v>
      </c>
      <c r="B108" s="30" t="s">
        <v>153</v>
      </c>
      <c r="C108" s="30" t="s">
        <v>150</v>
      </c>
      <c r="D108" s="30"/>
    </row>
    <row r="109" spans="1:4" x14ac:dyDescent="0.25">
      <c r="A109" s="29" t="s">
        <v>735</v>
      </c>
      <c r="B109" s="30" t="s">
        <v>153</v>
      </c>
      <c r="C109" s="30" t="s">
        <v>150</v>
      </c>
      <c r="D109" s="30"/>
    </row>
    <row r="110" spans="1:4" x14ac:dyDescent="0.25">
      <c r="A110" s="29" t="s">
        <v>736</v>
      </c>
      <c r="B110" s="30" t="s">
        <v>1299</v>
      </c>
      <c r="C110" s="30"/>
      <c r="D110" s="30"/>
    </row>
    <row r="111" spans="1:4" x14ac:dyDescent="0.25">
      <c r="A111" s="29" t="s">
        <v>737</v>
      </c>
      <c r="B111" s="30" t="s">
        <v>1299</v>
      </c>
      <c r="C111" s="30"/>
      <c r="D111" s="30"/>
    </row>
    <row r="112" spans="1:4" x14ac:dyDescent="0.25">
      <c r="A112" s="29" t="s">
        <v>156</v>
      </c>
      <c r="B112" s="30" t="s">
        <v>1263</v>
      </c>
      <c r="C112" s="30"/>
      <c r="D112" s="30"/>
    </row>
    <row r="113" spans="1:4" x14ac:dyDescent="0.25">
      <c r="A113" s="29" t="s">
        <v>1701</v>
      </c>
      <c r="B113" s="30" t="s">
        <v>1263</v>
      </c>
      <c r="C113" s="30"/>
      <c r="D113" s="30"/>
    </row>
    <row r="114" spans="1:4" x14ac:dyDescent="0.25">
      <c r="A114" s="29" t="s">
        <v>161</v>
      </c>
      <c r="B114" s="30" t="s">
        <v>1307</v>
      </c>
      <c r="C114" s="30"/>
      <c r="D114" s="30"/>
    </row>
    <row r="115" spans="1:4" x14ac:dyDescent="0.25">
      <c r="A115" s="29" t="s">
        <v>738</v>
      </c>
      <c r="B115" s="30" t="s">
        <v>1307</v>
      </c>
      <c r="C115" s="30"/>
      <c r="D115" s="30"/>
    </row>
    <row r="116" spans="1:4" x14ac:dyDescent="0.25">
      <c r="A116" s="29" t="s">
        <v>162</v>
      </c>
      <c r="B116" s="30" t="s">
        <v>1306</v>
      </c>
      <c r="C116" s="30"/>
      <c r="D116" s="30"/>
    </row>
    <row r="117" spans="1:4" x14ac:dyDescent="0.25">
      <c r="A117" s="29" t="s">
        <v>739</v>
      </c>
      <c r="B117" s="30" t="s">
        <v>1306</v>
      </c>
      <c r="C117" s="30"/>
      <c r="D117" s="30"/>
    </row>
    <row r="118" spans="1:4" x14ac:dyDescent="0.25">
      <c r="A118" s="29" t="s">
        <v>1702</v>
      </c>
      <c r="B118" s="30" t="s">
        <v>1296</v>
      </c>
      <c r="C118" s="30"/>
      <c r="D118" s="30"/>
    </row>
    <row r="119" spans="1:4" x14ac:dyDescent="0.25">
      <c r="A119" s="29" t="s">
        <v>1151</v>
      </c>
      <c r="B119" s="30" t="s">
        <v>1296</v>
      </c>
      <c r="C119" s="30"/>
      <c r="D119" s="30"/>
    </row>
    <row r="120" spans="1:4" x14ac:dyDescent="0.25">
      <c r="A120" s="29" t="s">
        <v>164</v>
      </c>
      <c r="B120" s="30" t="s">
        <v>1308</v>
      </c>
      <c r="C120" s="30"/>
      <c r="D120" s="30"/>
    </row>
    <row r="121" spans="1:4" x14ac:dyDescent="0.25">
      <c r="A121" s="29" t="s">
        <v>740</v>
      </c>
      <c r="B121" s="30" t="s">
        <v>1308</v>
      </c>
      <c r="C121" s="30"/>
      <c r="D121" s="30"/>
    </row>
    <row r="122" spans="1:4" x14ac:dyDescent="0.25">
      <c r="A122" s="29" t="s">
        <v>171</v>
      </c>
      <c r="B122" s="30" t="s">
        <v>1309</v>
      </c>
      <c r="C122" s="30"/>
      <c r="D122" s="30"/>
    </row>
    <row r="123" spans="1:4" x14ac:dyDescent="0.25">
      <c r="A123" s="29" t="s">
        <v>741</v>
      </c>
      <c r="B123" s="30" t="s">
        <v>1309</v>
      </c>
      <c r="C123" s="30"/>
      <c r="D123" s="30"/>
    </row>
    <row r="124" spans="1:4" x14ac:dyDescent="0.25">
      <c r="A124" s="29" t="s">
        <v>172</v>
      </c>
      <c r="B124" s="30" t="s">
        <v>1296</v>
      </c>
      <c r="C124" s="30"/>
      <c r="D124" s="30"/>
    </row>
    <row r="125" spans="1:4" x14ac:dyDescent="0.25">
      <c r="A125" s="29" t="s">
        <v>173</v>
      </c>
      <c r="B125" s="30" t="s">
        <v>1296</v>
      </c>
      <c r="C125" s="30"/>
      <c r="D125" s="30"/>
    </row>
    <row r="126" spans="1:4" x14ac:dyDescent="0.25">
      <c r="A126" s="29" t="s">
        <v>174</v>
      </c>
      <c r="B126" s="30" t="s">
        <v>1296</v>
      </c>
      <c r="C126" s="30"/>
      <c r="D126" s="30"/>
    </row>
    <row r="127" spans="1:4" x14ac:dyDescent="0.25">
      <c r="A127" s="29" t="s">
        <v>175</v>
      </c>
      <c r="B127" s="30" t="s">
        <v>1296</v>
      </c>
      <c r="C127" s="30"/>
      <c r="D127" s="30"/>
    </row>
    <row r="128" spans="1:4" x14ac:dyDescent="0.25">
      <c r="A128" s="29" t="s">
        <v>176</v>
      </c>
      <c r="B128" s="30" t="s">
        <v>1310</v>
      </c>
      <c r="C128" s="30"/>
      <c r="D128" s="30"/>
    </row>
    <row r="129" spans="1:4" x14ac:dyDescent="0.25">
      <c r="A129" s="29" t="s">
        <v>742</v>
      </c>
      <c r="B129" s="30" t="s">
        <v>1310</v>
      </c>
      <c r="C129" s="30"/>
      <c r="D129" s="30"/>
    </row>
    <row r="130" spans="1:4" x14ac:dyDescent="0.25">
      <c r="A130" s="29" t="s">
        <v>180</v>
      </c>
      <c r="B130" s="30" t="s">
        <v>1311</v>
      </c>
      <c r="C130" s="30"/>
      <c r="D130" s="30"/>
    </row>
    <row r="131" spans="1:4" x14ac:dyDescent="0.25">
      <c r="A131" s="29" t="s">
        <v>1312</v>
      </c>
      <c r="B131" s="30" t="s">
        <v>1311</v>
      </c>
      <c r="C131" s="30"/>
      <c r="D131" s="30"/>
    </row>
    <row r="132" spans="1:4" x14ac:dyDescent="0.25">
      <c r="A132" s="29" t="s">
        <v>743</v>
      </c>
      <c r="B132" s="30" t="s">
        <v>1313</v>
      </c>
      <c r="C132" s="30"/>
      <c r="D132" s="30"/>
    </row>
    <row r="133" spans="1:4" x14ac:dyDescent="0.25">
      <c r="A133" s="29" t="s">
        <v>744</v>
      </c>
      <c r="B133" s="30" t="s">
        <v>1313</v>
      </c>
      <c r="C133" s="30"/>
      <c r="D133" s="30"/>
    </row>
    <row r="134" spans="1:4" x14ac:dyDescent="0.25">
      <c r="A134" s="29" t="s">
        <v>745</v>
      </c>
      <c r="B134" s="30" t="s">
        <v>1313</v>
      </c>
      <c r="C134" s="30"/>
      <c r="D134" s="30"/>
    </row>
    <row r="135" spans="1:4" x14ac:dyDescent="0.25">
      <c r="A135" s="29" t="s">
        <v>746</v>
      </c>
      <c r="B135" s="30" t="s">
        <v>1313</v>
      </c>
      <c r="C135" s="30"/>
      <c r="D135" s="30"/>
    </row>
    <row r="136" spans="1:4" x14ac:dyDescent="0.25">
      <c r="A136" s="29" t="s">
        <v>1153</v>
      </c>
      <c r="B136" s="30" t="s">
        <v>703</v>
      </c>
      <c r="C136" s="30"/>
      <c r="D136" s="30"/>
    </row>
    <row r="137" spans="1:4" x14ac:dyDescent="0.25">
      <c r="A137" s="29" t="s">
        <v>1154</v>
      </c>
      <c r="B137" s="30" t="s">
        <v>703</v>
      </c>
      <c r="C137" s="30"/>
      <c r="D137" s="30"/>
    </row>
    <row r="138" spans="1:4" x14ac:dyDescent="0.25">
      <c r="A138" s="29" t="s">
        <v>187</v>
      </c>
      <c r="B138" s="30" t="s">
        <v>1314</v>
      </c>
      <c r="C138" s="30" t="s">
        <v>1315</v>
      </c>
      <c r="D138" s="30" t="s">
        <v>103</v>
      </c>
    </row>
    <row r="139" spans="1:4" x14ac:dyDescent="0.25">
      <c r="A139" s="29" t="s">
        <v>191</v>
      </c>
      <c r="B139" s="30" t="s">
        <v>1314</v>
      </c>
      <c r="C139" s="30" t="s">
        <v>1315</v>
      </c>
      <c r="D139" s="30" t="s">
        <v>103</v>
      </c>
    </row>
    <row r="140" spans="1:4" x14ac:dyDescent="0.25">
      <c r="A140" s="29" t="s">
        <v>747</v>
      </c>
      <c r="B140" s="30" t="s">
        <v>1314</v>
      </c>
      <c r="C140" s="30" t="s">
        <v>1315</v>
      </c>
      <c r="D140" s="30" t="s">
        <v>103</v>
      </c>
    </row>
    <row r="141" spans="1:4" x14ac:dyDescent="0.25">
      <c r="A141" s="29" t="s">
        <v>748</v>
      </c>
      <c r="B141" s="30" t="s">
        <v>1314</v>
      </c>
      <c r="C141" s="30" t="s">
        <v>1315</v>
      </c>
      <c r="D141" s="30" t="s">
        <v>103</v>
      </c>
    </row>
    <row r="142" spans="1:4" x14ac:dyDescent="0.25">
      <c r="A142" s="29" t="s">
        <v>192</v>
      </c>
      <c r="B142" s="30" t="s">
        <v>1316</v>
      </c>
      <c r="C142" s="30"/>
      <c r="D142" s="30"/>
    </row>
    <row r="143" spans="1:4" x14ac:dyDescent="0.25">
      <c r="A143" s="29" t="s">
        <v>749</v>
      </c>
      <c r="B143" s="30" t="s">
        <v>1316</v>
      </c>
      <c r="C143" s="30"/>
      <c r="D143" s="30"/>
    </row>
    <row r="144" spans="1:4" x14ac:dyDescent="0.25">
      <c r="A144" s="29" t="s">
        <v>196</v>
      </c>
      <c r="B144" s="30" t="s">
        <v>1306</v>
      </c>
      <c r="C144" s="30"/>
      <c r="D144" s="30"/>
    </row>
    <row r="145" spans="1:4" x14ac:dyDescent="0.25">
      <c r="A145" s="29" t="s">
        <v>197</v>
      </c>
      <c r="B145" s="30" t="s">
        <v>1317</v>
      </c>
      <c r="C145" s="30"/>
      <c r="D145" s="30"/>
    </row>
    <row r="146" spans="1:4" x14ac:dyDescent="0.25">
      <c r="A146" s="29" t="s">
        <v>200</v>
      </c>
      <c r="B146" s="30" t="s">
        <v>1296</v>
      </c>
      <c r="C146" s="30" t="s">
        <v>1317</v>
      </c>
      <c r="D146" s="30"/>
    </row>
    <row r="147" spans="1:4" x14ac:dyDescent="0.25">
      <c r="A147" s="29" t="s">
        <v>201</v>
      </c>
      <c r="B147" s="30" t="s">
        <v>1296</v>
      </c>
      <c r="C147" s="30" t="s">
        <v>1317</v>
      </c>
      <c r="D147" s="30"/>
    </row>
    <row r="148" spans="1:4" x14ac:dyDescent="0.25">
      <c r="A148" s="29" t="s">
        <v>202</v>
      </c>
      <c r="B148" s="30" t="s">
        <v>1318</v>
      </c>
      <c r="C148" s="30"/>
      <c r="D148" s="30"/>
    </row>
    <row r="149" spans="1:4" x14ac:dyDescent="0.25">
      <c r="A149" s="29" t="s">
        <v>206</v>
      </c>
      <c r="B149" s="30" t="s">
        <v>1318</v>
      </c>
      <c r="C149" s="30"/>
      <c r="D149" s="30"/>
    </row>
    <row r="150" spans="1:4" x14ac:dyDescent="0.25">
      <c r="A150" s="29" t="s">
        <v>207</v>
      </c>
      <c r="B150" s="30" t="s">
        <v>1318</v>
      </c>
      <c r="C150" s="30"/>
      <c r="D150" s="30"/>
    </row>
    <row r="151" spans="1:4" x14ac:dyDescent="0.25">
      <c r="A151" s="29" t="s">
        <v>208</v>
      </c>
      <c r="B151" s="30" t="s">
        <v>1185</v>
      </c>
      <c r="C151" s="30" t="s">
        <v>22</v>
      </c>
      <c r="D151" s="30"/>
    </row>
    <row r="152" spans="1:4" x14ac:dyDescent="0.25">
      <c r="A152" s="29" t="s">
        <v>209</v>
      </c>
      <c r="B152" s="30" t="s">
        <v>1185</v>
      </c>
      <c r="C152" s="30" t="s">
        <v>22</v>
      </c>
      <c r="D152" s="30"/>
    </row>
    <row r="153" spans="1:4" x14ac:dyDescent="0.25">
      <c r="A153" s="29" t="s">
        <v>210</v>
      </c>
      <c r="B153" s="30" t="s">
        <v>1185</v>
      </c>
      <c r="C153" s="30" t="s">
        <v>22</v>
      </c>
      <c r="D153" s="30"/>
    </row>
    <row r="154" spans="1:4" x14ac:dyDescent="0.25">
      <c r="A154" s="29" t="s">
        <v>1319</v>
      </c>
      <c r="B154" s="30" t="s">
        <v>1185</v>
      </c>
      <c r="C154" s="30" t="s">
        <v>22</v>
      </c>
      <c r="D154" s="30"/>
    </row>
    <row r="155" spans="1:4" x14ac:dyDescent="0.25">
      <c r="A155" s="29" t="s">
        <v>212</v>
      </c>
      <c r="B155" s="30" t="s">
        <v>1251</v>
      </c>
      <c r="C155" s="30"/>
      <c r="D155" s="30"/>
    </row>
    <row r="156" spans="1:4" x14ac:dyDescent="0.25">
      <c r="A156" s="29" t="s">
        <v>213</v>
      </c>
      <c r="B156" s="30" t="s">
        <v>1263</v>
      </c>
      <c r="C156" s="30"/>
      <c r="D156" s="30"/>
    </row>
    <row r="157" spans="1:4" x14ac:dyDescent="0.25">
      <c r="A157" s="29" t="s">
        <v>214</v>
      </c>
      <c r="B157" s="30" t="s">
        <v>1320</v>
      </c>
      <c r="C157" s="30" t="s">
        <v>215</v>
      </c>
      <c r="D157" s="30"/>
    </row>
    <row r="158" spans="1:4" x14ac:dyDescent="0.25">
      <c r="A158" s="29" t="s">
        <v>221</v>
      </c>
      <c r="B158" s="30" t="s">
        <v>1321</v>
      </c>
      <c r="C158" s="30"/>
      <c r="D158" s="30"/>
    </row>
    <row r="159" spans="1:4" x14ac:dyDescent="0.25">
      <c r="A159" s="29" t="s">
        <v>225</v>
      </c>
      <c r="B159" s="30" t="s">
        <v>1321</v>
      </c>
      <c r="C159" s="30"/>
      <c r="D159" s="30"/>
    </row>
    <row r="160" spans="1:4" x14ac:dyDescent="0.25">
      <c r="A160" s="29" t="s">
        <v>226</v>
      </c>
      <c r="B160" s="30" t="s">
        <v>1307</v>
      </c>
      <c r="C160" s="30"/>
      <c r="D160" s="30"/>
    </row>
    <row r="161" spans="1:4" x14ac:dyDescent="0.25">
      <c r="A161" s="29" t="s">
        <v>750</v>
      </c>
      <c r="B161" s="30" t="s">
        <v>1307</v>
      </c>
      <c r="C161" s="30"/>
      <c r="D161" s="30"/>
    </row>
    <row r="162" spans="1:4" x14ac:dyDescent="0.25">
      <c r="A162" s="29" t="s">
        <v>227</v>
      </c>
      <c r="B162" s="30" t="s">
        <v>1322</v>
      </c>
      <c r="C162" s="30"/>
      <c r="D162" s="30"/>
    </row>
    <row r="163" spans="1:4" x14ac:dyDescent="0.25">
      <c r="A163" s="29" t="s">
        <v>1703</v>
      </c>
      <c r="B163" s="30" t="s">
        <v>1323</v>
      </c>
      <c r="C163" s="30"/>
      <c r="D163" s="30"/>
    </row>
    <row r="164" spans="1:4" x14ac:dyDescent="0.25">
      <c r="A164" s="29" t="s">
        <v>235</v>
      </c>
      <c r="B164" s="30" t="s">
        <v>1317</v>
      </c>
      <c r="C164" s="30"/>
      <c r="D164" s="30"/>
    </row>
    <row r="165" spans="1:4" x14ac:dyDescent="0.25">
      <c r="A165" s="29" t="s">
        <v>236</v>
      </c>
      <c r="B165" s="30" t="s">
        <v>1317</v>
      </c>
      <c r="C165" s="30"/>
      <c r="D165" s="30"/>
    </row>
    <row r="166" spans="1:4" x14ac:dyDescent="0.25">
      <c r="A166" s="29" t="s">
        <v>1324</v>
      </c>
      <c r="B166" s="30" t="s">
        <v>1317</v>
      </c>
      <c r="C166" s="30"/>
      <c r="D166" s="30"/>
    </row>
    <row r="167" spans="1:4" x14ac:dyDescent="0.25">
      <c r="A167" s="29" t="s">
        <v>238</v>
      </c>
      <c r="B167" s="30" t="s">
        <v>1325</v>
      </c>
      <c r="C167" s="30"/>
      <c r="D167" s="30"/>
    </row>
    <row r="168" spans="1:4" x14ac:dyDescent="0.25">
      <c r="A168" s="29" t="s">
        <v>245</v>
      </c>
      <c r="B168" s="30" t="s">
        <v>1251</v>
      </c>
      <c r="C168" s="30"/>
      <c r="D168" s="30"/>
    </row>
    <row r="169" spans="1:4" x14ac:dyDescent="0.25">
      <c r="A169" s="29" t="s">
        <v>1155</v>
      </c>
      <c r="B169" s="30" t="s">
        <v>1326</v>
      </c>
      <c r="C169" s="30"/>
      <c r="D169" s="30"/>
    </row>
    <row r="170" spans="1:4" x14ac:dyDescent="0.25">
      <c r="A170" s="29" t="s">
        <v>1156</v>
      </c>
      <c r="B170" s="30" t="s">
        <v>1326</v>
      </c>
      <c r="C170" s="30"/>
      <c r="D170" s="30"/>
    </row>
    <row r="171" spans="1:4" x14ac:dyDescent="0.25">
      <c r="A171" s="29" t="s">
        <v>1157</v>
      </c>
      <c r="B171" s="30" t="s">
        <v>1326</v>
      </c>
      <c r="C171" s="30"/>
      <c r="D171" s="30"/>
    </row>
    <row r="172" spans="1:4" x14ac:dyDescent="0.25">
      <c r="A172" s="29" t="s">
        <v>1158</v>
      </c>
      <c r="B172" s="30" t="s">
        <v>1326</v>
      </c>
      <c r="C172" s="30"/>
      <c r="D172" s="30"/>
    </row>
    <row r="173" spans="1:4" x14ac:dyDescent="0.25">
      <c r="A173" s="29" t="s">
        <v>248</v>
      </c>
      <c r="B173" s="30" t="s">
        <v>1327</v>
      </c>
      <c r="C173" s="30" t="s">
        <v>1313</v>
      </c>
      <c r="D173" s="30"/>
    </row>
    <row r="174" spans="1:4" x14ac:dyDescent="0.25">
      <c r="A174" s="29" t="s">
        <v>252</v>
      </c>
      <c r="B174" s="30" t="s">
        <v>1328</v>
      </c>
      <c r="C174" s="30"/>
      <c r="D174" s="30"/>
    </row>
    <row r="175" spans="1:4" x14ac:dyDescent="0.25">
      <c r="A175" s="29" t="s">
        <v>256</v>
      </c>
      <c r="B175" s="30" t="s">
        <v>1329</v>
      </c>
      <c r="C175" s="30"/>
      <c r="D175" s="30"/>
    </row>
    <row r="176" spans="1:4" x14ac:dyDescent="0.25">
      <c r="A176" s="29" t="s">
        <v>260</v>
      </c>
      <c r="B176" s="30" t="s">
        <v>1318</v>
      </c>
      <c r="C176" s="30"/>
      <c r="D176" s="30"/>
    </row>
    <row r="177" spans="1:4" x14ac:dyDescent="0.25">
      <c r="A177" s="29" t="s">
        <v>261</v>
      </c>
      <c r="B177" s="30" t="s">
        <v>1318</v>
      </c>
      <c r="C177" s="30"/>
      <c r="D177" s="30"/>
    </row>
    <row r="178" spans="1:4" x14ac:dyDescent="0.25">
      <c r="A178" s="29" t="s">
        <v>262</v>
      </c>
      <c r="B178" s="30" t="s">
        <v>1330</v>
      </c>
      <c r="C178" s="30"/>
      <c r="D178" s="30"/>
    </row>
    <row r="179" spans="1:4" x14ac:dyDescent="0.25">
      <c r="A179" s="29" t="s">
        <v>266</v>
      </c>
      <c r="B179" s="30" t="s">
        <v>703</v>
      </c>
      <c r="C179" s="30" t="s">
        <v>752</v>
      </c>
      <c r="D179" s="30" t="s">
        <v>1159</v>
      </c>
    </row>
    <row r="180" spans="1:4" x14ac:dyDescent="0.25">
      <c r="A180" s="29" t="s">
        <v>268</v>
      </c>
      <c r="B180" s="30" t="s">
        <v>1331</v>
      </c>
      <c r="C180" s="30"/>
      <c r="D180" s="30"/>
    </row>
    <row r="181" spans="1:4" x14ac:dyDescent="0.25">
      <c r="A181" s="29" t="s">
        <v>269</v>
      </c>
      <c r="B181" s="30" t="s">
        <v>703</v>
      </c>
      <c r="C181" s="30"/>
      <c r="D181" s="30"/>
    </row>
    <row r="182" spans="1:4" x14ac:dyDescent="0.25">
      <c r="A182" s="29" t="s">
        <v>270</v>
      </c>
      <c r="B182" s="30" t="s">
        <v>1320</v>
      </c>
      <c r="C182" s="30" t="s">
        <v>1332</v>
      </c>
      <c r="D182" s="30"/>
    </row>
    <row r="183" spans="1:4" x14ac:dyDescent="0.25">
      <c r="A183" s="29" t="s">
        <v>271</v>
      </c>
      <c r="B183" s="30" t="s">
        <v>1320</v>
      </c>
      <c r="C183" s="30" t="s">
        <v>1332</v>
      </c>
      <c r="D183" s="30"/>
    </row>
    <row r="184" spans="1:4" x14ac:dyDescent="0.25">
      <c r="A184" s="29" t="s">
        <v>272</v>
      </c>
      <c r="B184" s="30" t="s">
        <v>1281</v>
      </c>
      <c r="C184" s="30" t="s">
        <v>1282</v>
      </c>
      <c r="D184" s="30"/>
    </row>
    <row r="185" spans="1:4" x14ac:dyDescent="0.25">
      <c r="A185" s="29" t="s">
        <v>273</v>
      </c>
      <c r="B185" s="30" t="s">
        <v>1333</v>
      </c>
      <c r="C185" s="30"/>
      <c r="D185" s="30"/>
    </row>
    <row r="186" spans="1:4" x14ac:dyDescent="0.25">
      <c r="A186" s="29" t="s">
        <v>277</v>
      </c>
      <c r="B186" s="30" t="s">
        <v>1281</v>
      </c>
      <c r="C186" s="30" t="s">
        <v>1282</v>
      </c>
      <c r="D186" s="30"/>
    </row>
    <row r="187" spans="1:4" x14ac:dyDescent="0.25">
      <c r="A187" s="29" t="s">
        <v>1161</v>
      </c>
      <c r="B187" s="30" t="s">
        <v>1162</v>
      </c>
      <c r="C187" s="30"/>
      <c r="D187" s="30"/>
    </row>
    <row r="188" spans="1:4" x14ac:dyDescent="0.25">
      <c r="A188" s="29" t="s">
        <v>1164</v>
      </c>
      <c r="B188" s="30" t="s">
        <v>1162</v>
      </c>
      <c r="C188" s="30"/>
      <c r="D188" s="30"/>
    </row>
    <row r="189" spans="1:4" x14ac:dyDescent="0.25">
      <c r="A189" s="29" t="s">
        <v>278</v>
      </c>
      <c r="B189" s="30" t="s">
        <v>1296</v>
      </c>
      <c r="C189" s="30"/>
      <c r="D189" s="30"/>
    </row>
    <row r="190" spans="1:4" x14ac:dyDescent="0.25">
      <c r="A190" s="29" t="s">
        <v>279</v>
      </c>
      <c r="B190" s="30" t="s">
        <v>1305</v>
      </c>
      <c r="C190" s="30"/>
      <c r="D190" s="30"/>
    </row>
    <row r="191" spans="1:4" x14ac:dyDescent="0.25">
      <c r="A191" s="29" t="s">
        <v>286</v>
      </c>
      <c r="B191" s="30" t="s">
        <v>1322</v>
      </c>
      <c r="C191" s="30"/>
      <c r="D191" s="30"/>
    </row>
    <row r="192" spans="1:4" x14ac:dyDescent="0.25">
      <c r="A192" s="29" t="s">
        <v>287</v>
      </c>
      <c r="B192" s="30" t="s">
        <v>1322</v>
      </c>
      <c r="C192" s="30"/>
      <c r="D192" s="30"/>
    </row>
    <row r="193" spans="1:4" x14ac:dyDescent="0.25">
      <c r="A193" s="29" t="s">
        <v>1699</v>
      </c>
      <c r="B193" s="30" t="s">
        <v>1322</v>
      </c>
      <c r="C193" s="30"/>
      <c r="D193" s="30"/>
    </row>
    <row r="194" spans="1:4" x14ac:dyDescent="0.25">
      <c r="A194" s="29" t="s">
        <v>290</v>
      </c>
      <c r="B194" s="30" t="s">
        <v>1281</v>
      </c>
      <c r="C194" s="30" t="s">
        <v>1282</v>
      </c>
      <c r="D194" s="30"/>
    </row>
    <row r="195" spans="1:4" x14ac:dyDescent="0.25">
      <c r="A195" s="29" t="s">
        <v>291</v>
      </c>
      <c r="B195" s="30" t="s">
        <v>1334</v>
      </c>
      <c r="C195" s="30"/>
      <c r="D195" s="30"/>
    </row>
    <row r="196" spans="1:4" x14ac:dyDescent="0.25">
      <c r="A196" s="29" t="s">
        <v>295</v>
      </c>
      <c r="B196" s="30" t="s">
        <v>1281</v>
      </c>
      <c r="C196" s="30" t="s">
        <v>1282</v>
      </c>
      <c r="D196" s="30"/>
    </row>
    <row r="197" spans="1:4" x14ac:dyDescent="0.25">
      <c r="A197" s="29" t="s">
        <v>296</v>
      </c>
      <c r="B197" s="30" t="s">
        <v>703</v>
      </c>
      <c r="C197" s="30"/>
      <c r="D197" s="30"/>
    </row>
    <row r="198" spans="1:4" x14ac:dyDescent="0.25">
      <c r="A198" s="29" t="s">
        <v>297</v>
      </c>
      <c r="B198" s="30" t="s">
        <v>703</v>
      </c>
      <c r="C198" s="30"/>
      <c r="D198" s="30"/>
    </row>
    <row r="199" spans="1:4" x14ac:dyDescent="0.25">
      <c r="A199" s="29" t="s">
        <v>298</v>
      </c>
      <c r="B199" s="30" t="s">
        <v>1335</v>
      </c>
      <c r="C199" s="30"/>
      <c r="D199" s="30"/>
    </row>
    <row r="200" spans="1:4" x14ac:dyDescent="0.25">
      <c r="A200" s="29" t="s">
        <v>299</v>
      </c>
      <c r="B200" s="30" t="s">
        <v>1336</v>
      </c>
      <c r="C200" s="30"/>
      <c r="D200" s="30"/>
    </row>
    <row r="201" spans="1:4" x14ac:dyDescent="0.25">
      <c r="A201" s="29" t="s">
        <v>303</v>
      </c>
      <c r="B201" s="30" t="s">
        <v>1296</v>
      </c>
      <c r="C201" s="30"/>
      <c r="D201" s="30"/>
    </row>
    <row r="202" spans="1:4" x14ac:dyDescent="0.25">
      <c r="A202" s="29" t="s">
        <v>304</v>
      </c>
      <c r="B202" s="30" t="s">
        <v>1296</v>
      </c>
      <c r="C202" s="30"/>
      <c r="D202" s="30"/>
    </row>
    <row r="203" spans="1:4" x14ac:dyDescent="0.25">
      <c r="A203" s="29" t="s">
        <v>305</v>
      </c>
      <c r="B203" s="30" t="s">
        <v>1281</v>
      </c>
      <c r="C203" s="30" t="s">
        <v>1282</v>
      </c>
      <c r="D203" s="30"/>
    </row>
    <row r="204" spans="1:4" x14ac:dyDescent="0.25">
      <c r="A204" s="29" t="s">
        <v>306</v>
      </c>
      <c r="B204" s="30" t="s">
        <v>1337</v>
      </c>
      <c r="C204" s="30" t="s">
        <v>1338</v>
      </c>
      <c r="D204" s="30" t="s">
        <v>1339</v>
      </c>
    </row>
    <row r="205" spans="1:4" x14ac:dyDescent="0.25">
      <c r="A205" s="29" t="s">
        <v>316</v>
      </c>
      <c r="B205" s="30" t="s">
        <v>1337</v>
      </c>
      <c r="C205" s="30" t="s">
        <v>1338</v>
      </c>
      <c r="D205" s="30" t="s">
        <v>1339</v>
      </c>
    </row>
    <row r="206" spans="1:4" x14ac:dyDescent="0.25">
      <c r="A206" s="29" t="s">
        <v>1165</v>
      </c>
      <c r="B206" s="30" t="s">
        <v>1337</v>
      </c>
      <c r="C206" s="30" t="s">
        <v>1338</v>
      </c>
      <c r="D206" s="30" t="s">
        <v>1339</v>
      </c>
    </row>
    <row r="207" spans="1:4" x14ac:dyDescent="0.25">
      <c r="A207" s="29" t="s">
        <v>1166</v>
      </c>
      <c r="B207" s="30" t="s">
        <v>1337</v>
      </c>
      <c r="C207" s="30" t="s">
        <v>1338</v>
      </c>
      <c r="D207" s="30" t="s">
        <v>1339</v>
      </c>
    </row>
    <row r="208" spans="1:4" x14ac:dyDescent="0.25">
      <c r="A208" s="29" t="s">
        <v>317</v>
      </c>
      <c r="B208" s="30" t="s">
        <v>1340</v>
      </c>
      <c r="C208" s="30"/>
      <c r="D208" s="30"/>
    </row>
    <row r="209" spans="1:4" x14ac:dyDescent="0.25">
      <c r="A209" s="29" t="s">
        <v>1167</v>
      </c>
      <c r="B209" s="30" t="s">
        <v>1337</v>
      </c>
      <c r="C209" s="30" t="s">
        <v>1338</v>
      </c>
      <c r="D209" s="30" t="s">
        <v>1339</v>
      </c>
    </row>
    <row r="210" spans="1:4" x14ac:dyDescent="0.25">
      <c r="A210" s="29" t="s">
        <v>1168</v>
      </c>
      <c r="B210" s="30" t="s">
        <v>1337</v>
      </c>
      <c r="C210" s="30" t="s">
        <v>1338</v>
      </c>
      <c r="D210" s="30" t="s">
        <v>1339</v>
      </c>
    </row>
    <row r="211" spans="1:4" x14ac:dyDescent="0.25">
      <c r="A211" s="29" t="s">
        <v>1169</v>
      </c>
      <c r="B211" s="30" t="s">
        <v>1337</v>
      </c>
      <c r="C211" s="30" t="s">
        <v>1338</v>
      </c>
      <c r="D211" s="30" t="s">
        <v>1339</v>
      </c>
    </row>
    <row r="212" spans="1:4" x14ac:dyDescent="0.25">
      <c r="A212" s="29" t="s">
        <v>1170</v>
      </c>
      <c r="B212" s="30" t="s">
        <v>1341</v>
      </c>
      <c r="C212" s="30"/>
      <c r="D212" s="30"/>
    </row>
    <row r="213" spans="1:4" x14ac:dyDescent="0.25">
      <c r="A213" s="29" t="s">
        <v>323</v>
      </c>
      <c r="B213" s="30" t="s">
        <v>703</v>
      </c>
      <c r="C213" s="30"/>
      <c r="D213" s="30"/>
    </row>
    <row r="214" spans="1:4" x14ac:dyDescent="0.25">
      <c r="A214" s="29" t="s">
        <v>325</v>
      </c>
      <c r="B214" s="30" t="s">
        <v>1342</v>
      </c>
      <c r="C214" s="30"/>
      <c r="D214" s="30"/>
    </row>
    <row r="215" spans="1:4" x14ac:dyDescent="0.25">
      <c r="A215" s="29" t="s">
        <v>329</v>
      </c>
      <c r="B215" s="30" t="s">
        <v>1296</v>
      </c>
      <c r="C215" s="30"/>
      <c r="D215" s="30"/>
    </row>
    <row r="216" spans="1:4" x14ac:dyDescent="0.25">
      <c r="A216" s="29" t="s">
        <v>330</v>
      </c>
      <c r="B216" s="30" t="s">
        <v>1296</v>
      </c>
      <c r="C216" s="30"/>
      <c r="D216" s="30"/>
    </row>
    <row r="217" spans="1:4" x14ac:dyDescent="0.25">
      <c r="A217" s="29" t="s">
        <v>331</v>
      </c>
      <c r="B217" s="30" t="s">
        <v>1296</v>
      </c>
      <c r="C217" s="30"/>
      <c r="D217" s="30"/>
    </row>
    <row r="218" spans="1:4" x14ac:dyDescent="0.25">
      <c r="A218" s="29" t="s">
        <v>333</v>
      </c>
      <c r="B218" s="30" t="s">
        <v>1343</v>
      </c>
      <c r="C218" s="30"/>
      <c r="D218" s="30"/>
    </row>
    <row r="219" spans="1:4" x14ac:dyDescent="0.25">
      <c r="A219" s="29" t="s">
        <v>337</v>
      </c>
      <c r="B219" s="30" t="s">
        <v>1344</v>
      </c>
      <c r="C219" s="30"/>
      <c r="D219" s="30"/>
    </row>
    <row r="220" spans="1:4" x14ac:dyDescent="0.25">
      <c r="A220" s="29" t="s">
        <v>340</v>
      </c>
      <c r="B220" s="30" t="s">
        <v>1345</v>
      </c>
      <c r="C220" s="30"/>
      <c r="D220" s="30"/>
    </row>
    <row r="221" spans="1:4" x14ac:dyDescent="0.25">
      <c r="A221" s="29" t="s">
        <v>344</v>
      </c>
      <c r="B221" s="30" t="s">
        <v>1346</v>
      </c>
      <c r="C221" s="30"/>
      <c r="D221" s="30"/>
    </row>
    <row r="222" spans="1:4" x14ac:dyDescent="0.25">
      <c r="A222" s="29" t="s">
        <v>348</v>
      </c>
      <c r="B222" s="30" t="s">
        <v>1296</v>
      </c>
      <c r="C222" s="30"/>
      <c r="D222" s="30"/>
    </row>
    <row r="223" spans="1:4" x14ac:dyDescent="0.25">
      <c r="A223" s="29" t="s">
        <v>1171</v>
      </c>
      <c r="B223" s="30" t="s">
        <v>1281</v>
      </c>
      <c r="C223" s="30" t="s">
        <v>1282</v>
      </c>
      <c r="D223" s="30"/>
    </row>
    <row r="224" spans="1:4" x14ac:dyDescent="0.25">
      <c r="A224" s="29" t="s">
        <v>1704</v>
      </c>
      <c r="B224" s="30" t="s">
        <v>1281</v>
      </c>
      <c r="C224" s="30" t="s">
        <v>1282</v>
      </c>
      <c r="D224" s="30"/>
    </row>
    <row r="225" spans="1:4" x14ac:dyDescent="0.25">
      <c r="A225" s="29" t="s">
        <v>349</v>
      </c>
      <c r="B225" s="30" t="s">
        <v>1347</v>
      </c>
      <c r="C225" s="30"/>
      <c r="D225" s="30"/>
    </row>
    <row r="226" spans="1:4" x14ac:dyDescent="0.25">
      <c r="A226" s="29" t="s">
        <v>352</v>
      </c>
      <c r="B226" s="30" t="s">
        <v>1281</v>
      </c>
      <c r="C226" s="30" t="s">
        <v>1282</v>
      </c>
      <c r="D226" s="30"/>
    </row>
    <row r="227" spans="1:4" x14ac:dyDescent="0.25">
      <c r="A227" s="29" t="s">
        <v>353</v>
      </c>
      <c r="B227" s="30" t="s">
        <v>1281</v>
      </c>
      <c r="C227" s="30" t="s">
        <v>1282</v>
      </c>
      <c r="D227" s="30"/>
    </row>
    <row r="228" spans="1:4" x14ac:dyDescent="0.25">
      <c r="A228" s="29" t="s">
        <v>354</v>
      </c>
      <c r="B228" s="30" t="s">
        <v>1346</v>
      </c>
      <c r="C228" s="30"/>
      <c r="D228" s="30"/>
    </row>
    <row r="229" spans="1:4" x14ac:dyDescent="0.25">
      <c r="A229" s="29" t="s">
        <v>355</v>
      </c>
      <c r="B229" s="30" t="s">
        <v>1346</v>
      </c>
      <c r="C229" s="30"/>
      <c r="D229" s="30"/>
    </row>
    <row r="230" spans="1:4" x14ac:dyDescent="0.25">
      <c r="A230" s="29" t="s">
        <v>356</v>
      </c>
      <c r="B230" s="30" t="s">
        <v>1348</v>
      </c>
      <c r="C230" s="30"/>
      <c r="D230" s="30"/>
    </row>
    <row r="231" spans="1:4" x14ac:dyDescent="0.25">
      <c r="A231" s="29" t="s">
        <v>360</v>
      </c>
      <c r="B231" s="30" t="s">
        <v>1348</v>
      </c>
      <c r="C231" s="30"/>
      <c r="D231" s="30"/>
    </row>
    <row r="232" spans="1:4" x14ac:dyDescent="0.25">
      <c r="A232" s="29" t="s">
        <v>361</v>
      </c>
      <c r="B232" s="30" t="s">
        <v>703</v>
      </c>
      <c r="C232" s="30" t="s">
        <v>1349</v>
      </c>
      <c r="D232" s="30" t="s">
        <v>1350</v>
      </c>
    </row>
    <row r="233" spans="1:4" x14ac:dyDescent="0.25">
      <c r="A233" s="29" t="s">
        <v>368</v>
      </c>
      <c r="B233" s="30" t="s">
        <v>1351</v>
      </c>
      <c r="C233" s="30"/>
      <c r="D233" s="30"/>
    </row>
    <row r="234" spans="1:4" x14ac:dyDescent="0.25">
      <c r="A234" s="29" t="s">
        <v>371</v>
      </c>
      <c r="B234" s="30" t="s">
        <v>703</v>
      </c>
      <c r="C234" s="30" t="s">
        <v>1349</v>
      </c>
      <c r="D234" s="30" t="s">
        <v>1350</v>
      </c>
    </row>
    <row r="235" spans="1:4" x14ac:dyDescent="0.25">
      <c r="A235" s="29" t="s">
        <v>372</v>
      </c>
      <c r="B235" s="30" t="s">
        <v>1296</v>
      </c>
      <c r="C235" s="30"/>
      <c r="D235" s="30"/>
    </row>
    <row r="236" spans="1:4" x14ac:dyDescent="0.25">
      <c r="A236" s="29" t="s">
        <v>1173</v>
      </c>
      <c r="B236" s="30" t="s">
        <v>1162</v>
      </c>
      <c r="C236" s="30"/>
      <c r="D236" s="30"/>
    </row>
    <row r="237" spans="1:4" x14ac:dyDescent="0.25">
      <c r="A237" s="29" t="s">
        <v>375</v>
      </c>
      <c r="B237" s="30" t="s">
        <v>1251</v>
      </c>
      <c r="C237" s="30"/>
      <c r="D237" s="30"/>
    </row>
    <row r="238" spans="1:4" x14ac:dyDescent="0.25">
      <c r="A238" s="29" t="s">
        <v>1705</v>
      </c>
      <c r="B238" s="30" t="s">
        <v>1352</v>
      </c>
      <c r="C238" s="30"/>
      <c r="D238" s="30"/>
    </row>
    <row r="239" spans="1:4" x14ac:dyDescent="0.25">
      <c r="A239" s="29" t="s">
        <v>381</v>
      </c>
      <c r="B239" s="30" t="s">
        <v>1329</v>
      </c>
      <c r="C239" s="30"/>
      <c r="D239" s="30"/>
    </row>
    <row r="240" spans="1:4" x14ac:dyDescent="0.25">
      <c r="A240" s="29" t="s">
        <v>1174</v>
      </c>
      <c r="B240" s="30" t="s">
        <v>1341</v>
      </c>
      <c r="C240" s="30"/>
      <c r="D240" s="30"/>
    </row>
    <row r="241" spans="1:4" x14ac:dyDescent="0.25">
      <c r="A241" s="29" t="s">
        <v>382</v>
      </c>
      <c r="B241" s="30" t="s">
        <v>1353</v>
      </c>
      <c r="C241" s="30"/>
      <c r="D241" s="30"/>
    </row>
    <row r="242" spans="1:4" x14ac:dyDescent="0.25">
      <c r="A242" s="29" t="s">
        <v>386</v>
      </c>
      <c r="B242" s="30" t="s">
        <v>1281</v>
      </c>
      <c r="C242" s="30" t="s">
        <v>1282</v>
      </c>
      <c r="D242" s="30"/>
    </row>
    <row r="243" spans="1:4" x14ac:dyDescent="0.25">
      <c r="A243" s="29" t="s">
        <v>387</v>
      </c>
      <c r="B243" s="30" t="s">
        <v>1296</v>
      </c>
      <c r="C243" s="30"/>
      <c r="D243" s="30"/>
    </row>
    <row r="244" spans="1:4" x14ac:dyDescent="0.25">
      <c r="A244" s="29" t="s">
        <v>388</v>
      </c>
      <c r="B244" s="30" t="s">
        <v>1296</v>
      </c>
      <c r="C244" s="30"/>
      <c r="D244" s="30"/>
    </row>
    <row r="245" spans="1:4" x14ac:dyDescent="0.25">
      <c r="A245" s="29" t="s">
        <v>389</v>
      </c>
      <c r="B245" s="30" t="s">
        <v>703</v>
      </c>
      <c r="C245" s="30"/>
      <c r="D245" s="30"/>
    </row>
    <row r="246" spans="1:4" x14ac:dyDescent="0.25">
      <c r="A246" s="29" t="s">
        <v>390</v>
      </c>
      <c r="B246" s="30" t="s">
        <v>703</v>
      </c>
      <c r="C246" s="30"/>
      <c r="D246" s="30"/>
    </row>
    <row r="247" spans="1:4" x14ac:dyDescent="0.25">
      <c r="A247" s="29" t="s">
        <v>391</v>
      </c>
      <c r="B247" s="30" t="s">
        <v>703</v>
      </c>
      <c r="C247" s="30"/>
      <c r="D247" s="30"/>
    </row>
    <row r="248" spans="1:4" x14ac:dyDescent="0.25">
      <c r="A248" s="29" t="s">
        <v>392</v>
      </c>
      <c r="B248" s="30" t="s">
        <v>703</v>
      </c>
      <c r="C248" s="30"/>
      <c r="D248" s="30"/>
    </row>
    <row r="249" spans="1:4" x14ac:dyDescent="0.25">
      <c r="A249" s="29" t="s">
        <v>393</v>
      </c>
      <c r="B249" s="30" t="s">
        <v>1281</v>
      </c>
      <c r="C249" s="30" t="s">
        <v>1282</v>
      </c>
      <c r="D249" s="30"/>
    </row>
    <row r="250" spans="1:4" x14ac:dyDescent="0.25">
      <c r="A250" s="29" t="s">
        <v>394</v>
      </c>
      <c r="B250" s="30" t="s">
        <v>1281</v>
      </c>
      <c r="C250" s="30" t="s">
        <v>1282</v>
      </c>
      <c r="D250" s="30"/>
    </row>
    <row r="251" spans="1:4" x14ac:dyDescent="0.25">
      <c r="A251" s="29" t="s">
        <v>395</v>
      </c>
      <c r="B251" s="30" t="s">
        <v>1354</v>
      </c>
      <c r="C251" s="30"/>
      <c r="D251" s="30"/>
    </row>
    <row r="252" spans="1:4" x14ac:dyDescent="0.25">
      <c r="A252" s="29" t="s">
        <v>401</v>
      </c>
      <c r="B252" s="30" t="s">
        <v>402</v>
      </c>
      <c r="C252" s="30"/>
      <c r="D252" s="30"/>
    </row>
    <row r="253" spans="1:4" x14ac:dyDescent="0.25">
      <c r="A253" s="29" t="s">
        <v>405</v>
      </c>
      <c r="B253" s="30" t="s">
        <v>1185</v>
      </c>
      <c r="C253" s="30" t="s">
        <v>22</v>
      </c>
      <c r="D253" s="30"/>
    </row>
    <row r="254" spans="1:4" x14ac:dyDescent="0.25">
      <c r="A254" s="29" t="s">
        <v>406</v>
      </c>
      <c r="B254" s="30" t="s">
        <v>407</v>
      </c>
      <c r="C254" s="30"/>
      <c r="D254" s="30"/>
    </row>
    <row r="255" spans="1:4" x14ac:dyDescent="0.25">
      <c r="A255" s="29" t="s">
        <v>411</v>
      </c>
      <c r="B255" s="30" t="s">
        <v>80</v>
      </c>
      <c r="C255" s="30" t="s">
        <v>77</v>
      </c>
      <c r="D255" s="30"/>
    </row>
    <row r="256" spans="1:4" x14ac:dyDescent="0.25">
      <c r="A256" s="29" t="s">
        <v>412</v>
      </c>
      <c r="B256" s="30" t="s">
        <v>413</v>
      </c>
      <c r="C256" s="30"/>
      <c r="D256" s="30"/>
    </row>
    <row r="257" spans="1:4" x14ac:dyDescent="0.25">
      <c r="A257" s="29" t="s">
        <v>416</v>
      </c>
      <c r="B257" s="30" t="s">
        <v>19</v>
      </c>
      <c r="C257" s="30"/>
      <c r="D257" s="30"/>
    </row>
    <row r="258" spans="1:4" x14ac:dyDescent="0.25">
      <c r="A258" s="29" t="s">
        <v>417</v>
      </c>
      <c r="B258" s="30" t="s">
        <v>338</v>
      </c>
      <c r="C258" s="30"/>
      <c r="D258" s="30"/>
    </row>
    <row r="259" spans="1:4" x14ac:dyDescent="0.25">
      <c r="A259" s="29" t="s">
        <v>1706</v>
      </c>
      <c r="B259" s="30" t="s">
        <v>1355</v>
      </c>
      <c r="C259" s="30" t="s">
        <v>338</v>
      </c>
      <c r="D259" s="30"/>
    </row>
    <row r="260" spans="1:4" x14ac:dyDescent="0.25">
      <c r="A260" s="29" t="s">
        <v>423</v>
      </c>
      <c r="B260" s="30" t="s">
        <v>263</v>
      </c>
      <c r="C260" s="30"/>
      <c r="D260" s="30"/>
    </row>
    <row r="261" spans="1:4" x14ac:dyDescent="0.25">
      <c r="A261" s="29" t="s">
        <v>424</v>
      </c>
      <c r="B261" s="30" t="s">
        <v>425</v>
      </c>
      <c r="C261" s="30"/>
      <c r="D261" s="30"/>
    </row>
    <row r="262" spans="1:4" x14ac:dyDescent="0.25">
      <c r="A262" s="29" t="s">
        <v>428</v>
      </c>
      <c r="B262" s="30" t="s">
        <v>425</v>
      </c>
      <c r="C262" s="30"/>
      <c r="D262" s="30"/>
    </row>
    <row r="263" spans="1:4" x14ac:dyDescent="0.25">
      <c r="A263" s="29" t="s">
        <v>429</v>
      </c>
      <c r="B263" s="30" t="s">
        <v>425</v>
      </c>
      <c r="C263" s="30"/>
      <c r="D263" s="30"/>
    </row>
    <row r="264" spans="1:4" x14ac:dyDescent="0.25">
      <c r="A264" s="29" t="s">
        <v>430</v>
      </c>
      <c r="B264" s="30" t="s">
        <v>425</v>
      </c>
      <c r="C264" s="30"/>
      <c r="D264" s="30"/>
    </row>
    <row r="265" spans="1:4" x14ac:dyDescent="0.25">
      <c r="A265" s="29" t="s">
        <v>431</v>
      </c>
      <c r="B265" s="30" t="s">
        <v>357</v>
      </c>
      <c r="C265" s="30"/>
      <c r="D265" s="30"/>
    </row>
    <row r="266" spans="1:4" x14ac:dyDescent="0.25">
      <c r="A266" s="29" t="s">
        <v>432</v>
      </c>
      <c r="B266" s="30" t="s">
        <v>139</v>
      </c>
      <c r="C266" s="30"/>
      <c r="D266" s="30"/>
    </row>
    <row r="267" spans="1:4" x14ac:dyDescent="0.25">
      <c r="A267" s="29" t="s">
        <v>433</v>
      </c>
      <c r="B267" s="30" t="s">
        <v>80</v>
      </c>
      <c r="C267" s="30" t="s">
        <v>77</v>
      </c>
      <c r="D267" s="30"/>
    </row>
    <row r="268" spans="1:4" x14ac:dyDescent="0.25">
      <c r="A268" s="29" t="s">
        <v>434</v>
      </c>
      <c r="B268" s="30" t="s">
        <v>435</v>
      </c>
      <c r="C268" s="30"/>
      <c r="D268" s="30"/>
    </row>
    <row r="269" spans="1:4" x14ac:dyDescent="0.25">
      <c r="A269" s="29" t="s">
        <v>438</v>
      </c>
      <c r="B269" s="30" t="s">
        <v>439</v>
      </c>
      <c r="C269" s="30"/>
      <c r="D269" s="30"/>
    </row>
    <row r="270" spans="1:4" x14ac:dyDescent="0.25">
      <c r="A270" s="29" t="s">
        <v>442</v>
      </c>
      <c r="B270" s="30" t="s">
        <v>57</v>
      </c>
      <c r="C270" s="30"/>
      <c r="D270" s="30"/>
    </row>
    <row r="271" spans="1:4" x14ac:dyDescent="0.25">
      <c r="A271" s="29" t="s">
        <v>443</v>
      </c>
      <c r="B271" s="30" t="s">
        <v>444</v>
      </c>
      <c r="C271" s="30"/>
      <c r="D271" s="30"/>
    </row>
    <row r="272" spans="1:4" x14ac:dyDescent="0.25">
      <c r="A272" s="29" t="s">
        <v>447</v>
      </c>
      <c r="B272" s="30" t="s">
        <v>435</v>
      </c>
      <c r="C272" s="30"/>
      <c r="D272" s="30"/>
    </row>
    <row r="273" spans="1:4" x14ac:dyDescent="0.25">
      <c r="A273" s="29" t="s">
        <v>449</v>
      </c>
      <c r="B273" s="30" t="s">
        <v>452</v>
      </c>
      <c r="C273" s="30" t="s">
        <v>1021</v>
      </c>
      <c r="D273" s="30"/>
    </row>
    <row r="274" spans="1:4" x14ac:dyDescent="0.25">
      <c r="A274" s="29" t="s">
        <v>455</v>
      </c>
      <c r="B274" s="30" t="s">
        <v>274</v>
      </c>
      <c r="C274" s="30"/>
      <c r="D274" s="30"/>
    </row>
    <row r="275" spans="1:4" x14ac:dyDescent="0.25">
      <c r="A275" s="29" t="s">
        <v>456</v>
      </c>
      <c r="B275" s="30" t="s">
        <v>253</v>
      </c>
      <c r="C275" s="30"/>
      <c r="D275" s="30"/>
    </row>
    <row r="276" spans="1:4" x14ac:dyDescent="0.25">
      <c r="A276" s="29" t="s">
        <v>457</v>
      </c>
      <c r="B276" s="30" t="s">
        <v>458</v>
      </c>
      <c r="C276" s="30"/>
      <c r="D276" s="30"/>
    </row>
    <row r="277" spans="1:4" x14ac:dyDescent="0.25">
      <c r="A277" s="29" t="s">
        <v>461</v>
      </c>
      <c r="B277" s="30" t="s">
        <v>458</v>
      </c>
      <c r="C277" s="30"/>
      <c r="D277" s="30"/>
    </row>
    <row r="278" spans="1:4" x14ac:dyDescent="0.25">
      <c r="A278" s="29" t="s">
        <v>462</v>
      </c>
      <c r="B278" s="30" t="s">
        <v>80</v>
      </c>
      <c r="C278" s="30" t="s">
        <v>77</v>
      </c>
      <c r="D278" s="30"/>
    </row>
    <row r="279" spans="1:4" x14ac:dyDescent="0.25">
      <c r="A279" s="29" t="s">
        <v>463</v>
      </c>
      <c r="B279" s="30" t="s">
        <v>464</v>
      </c>
      <c r="C279" s="30"/>
      <c r="D279" s="30"/>
    </row>
    <row r="280" spans="1:4" x14ac:dyDescent="0.25">
      <c r="A280" s="29" t="s">
        <v>467</v>
      </c>
      <c r="B280" s="30" t="s">
        <v>468</v>
      </c>
      <c r="C280" s="30"/>
      <c r="D280" s="30"/>
    </row>
    <row r="281" spans="1:4" x14ac:dyDescent="0.25">
      <c r="A281" s="29" t="s">
        <v>471</v>
      </c>
      <c r="B281" s="30" t="s">
        <v>1356</v>
      </c>
      <c r="C281" s="30"/>
      <c r="D281" s="30"/>
    </row>
    <row r="282" spans="1:4" x14ac:dyDescent="0.25">
      <c r="A282" s="29" t="s">
        <v>475</v>
      </c>
      <c r="B282" s="30" t="s">
        <v>345</v>
      </c>
      <c r="C282" s="30"/>
      <c r="D282" s="30"/>
    </row>
    <row r="283" spans="1:4" x14ac:dyDescent="0.25">
      <c r="A283" s="29" t="s">
        <v>476</v>
      </c>
      <c r="B283" s="30" t="s">
        <v>300</v>
      </c>
      <c r="C283" s="30"/>
      <c r="D283" s="30"/>
    </row>
    <row r="284" spans="1:4" x14ac:dyDescent="0.25">
      <c r="A284" s="29" t="s">
        <v>478</v>
      </c>
      <c r="B284" s="30" t="s">
        <v>37</v>
      </c>
      <c r="C284" s="30"/>
      <c r="D284" s="30"/>
    </row>
    <row r="285" spans="1:4" x14ac:dyDescent="0.25">
      <c r="A285" s="29" t="s">
        <v>479</v>
      </c>
      <c r="B285" s="30" t="s">
        <v>482</v>
      </c>
      <c r="C285" s="30" t="s">
        <v>480</v>
      </c>
      <c r="D285" s="30"/>
    </row>
    <row r="286" spans="1:4" x14ac:dyDescent="0.25">
      <c r="A286" s="29" t="s">
        <v>482</v>
      </c>
      <c r="B286" s="30" t="s">
        <v>482</v>
      </c>
      <c r="C286" s="30" t="s">
        <v>480</v>
      </c>
      <c r="D286" s="30"/>
    </row>
    <row r="287" spans="1:4" x14ac:dyDescent="0.25">
      <c r="A287" s="29" t="s">
        <v>485</v>
      </c>
      <c r="B287" s="30" t="s">
        <v>80</v>
      </c>
      <c r="C287" s="30" t="s">
        <v>77</v>
      </c>
      <c r="D287" s="30"/>
    </row>
    <row r="288" spans="1:4" x14ac:dyDescent="0.25">
      <c r="A288" s="29" t="s">
        <v>486</v>
      </c>
      <c r="B288" s="30" t="s">
        <v>19</v>
      </c>
      <c r="C288" s="30"/>
      <c r="D288" s="30"/>
    </row>
    <row r="289" spans="1:4" x14ac:dyDescent="0.25">
      <c r="A289" s="29" t="s">
        <v>487</v>
      </c>
      <c r="B289" s="30" t="s">
        <v>703</v>
      </c>
      <c r="C289" s="30" t="s">
        <v>1698</v>
      </c>
      <c r="D289" s="30" t="s">
        <v>1159</v>
      </c>
    </row>
    <row r="290" spans="1:4" x14ac:dyDescent="0.25">
      <c r="A290" s="29" t="s">
        <v>488</v>
      </c>
      <c r="B290" s="30" t="s">
        <v>489</v>
      </c>
      <c r="C290" s="30"/>
      <c r="D290" s="30"/>
    </row>
    <row r="291" spans="1:4" x14ac:dyDescent="0.25">
      <c r="A291" s="29" t="s">
        <v>492</v>
      </c>
      <c r="B291" s="30" t="s">
        <v>19</v>
      </c>
      <c r="C291" s="30"/>
      <c r="D291" s="30"/>
    </row>
    <row r="292" spans="1:4" x14ac:dyDescent="0.25">
      <c r="A292" s="29" t="s">
        <v>1707</v>
      </c>
      <c r="B292" s="30" t="s">
        <v>435</v>
      </c>
      <c r="C292" s="30"/>
      <c r="D292" s="30"/>
    </row>
    <row r="293" spans="1:4" x14ac:dyDescent="0.25">
      <c r="A293" s="29" t="s">
        <v>494</v>
      </c>
      <c r="B293" s="30" t="s">
        <v>1185</v>
      </c>
      <c r="C293" s="30" t="s">
        <v>22</v>
      </c>
      <c r="D293" s="30"/>
    </row>
    <row r="294" spans="1:4" x14ac:dyDescent="0.25">
      <c r="A294" s="29" t="s">
        <v>495</v>
      </c>
      <c r="B294" s="30" t="s">
        <v>1185</v>
      </c>
      <c r="C294" s="30" t="s">
        <v>22</v>
      </c>
      <c r="D294" s="30"/>
    </row>
    <row r="295" spans="1:4" x14ac:dyDescent="0.25">
      <c r="A295" s="29" t="s">
        <v>496</v>
      </c>
      <c r="B295" s="30" t="s">
        <v>80</v>
      </c>
      <c r="C295" s="30" t="s">
        <v>77</v>
      </c>
      <c r="D295" s="30" t="s">
        <v>497</v>
      </c>
    </row>
    <row r="296" spans="1:4" x14ac:dyDescent="0.25">
      <c r="A296" s="29" t="s">
        <v>15</v>
      </c>
      <c r="B296" s="30" t="s">
        <v>15</v>
      </c>
      <c r="C296" s="30" t="s">
        <v>12</v>
      </c>
      <c r="D296" s="30"/>
    </row>
    <row r="297" spans="1:4" x14ac:dyDescent="0.25">
      <c r="A297" s="29" t="s">
        <v>500</v>
      </c>
      <c r="B297" s="30" t="s">
        <v>703</v>
      </c>
      <c r="C297" s="30"/>
      <c r="D297" s="30"/>
    </row>
    <row r="298" spans="1:4" x14ac:dyDescent="0.25">
      <c r="A298" s="29" t="s">
        <v>501</v>
      </c>
      <c r="B298" s="30" t="s">
        <v>703</v>
      </c>
      <c r="C298" s="30"/>
      <c r="D298" s="30"/>
    </row>
    <row r="299" spans="1:4" x14ac:dyDescent="0.25">
      <c r="A299" s="29" t="s">
        <v>502</v>
      </c>
      <c r="B299" s="30" t="s">
        <v>703</v>
      </c>
      <c r="C299" s="30"/>
      <c r="D299" s="30"/>
    </row>
    <row r="300" spans="1:4" x14ac:dyDescent="0.25">
      <c r="A300" s="29" t="s">
        <v>503</v>
      </c>
      <c r="B300" s="30" t="s">
        <v>703</v>
      </c>
      <c r="C300" s="30"/>
      <c r="D300" s="30"/>
    </row>
    <row r="301" spans="1:4" x14ac:dyDescent="0.25">
      <c r="A301" s="29" t="s">
        <v>1175</v>
      </c>
      <c r="B301" s="30" t="s">
        <v>321</v>
      </c>
      <c r="C301" s="30"/>
      <c r="D301" s="30"/>
    </row>
    <row r="302" spans="1:4" x14ac:dyDescent="0.25">
      <c r="A302" s="29" t="s">
        <v>1176</v>
      </c>
      <c r="B302" s="30" t="s">
        <v>321</v>
      </c>
      <c r="C302" s="30"/>
      <c r="D302" s="30"/>
    </row>
    <row r="303" spans="1:4" x14ac:dyDescent="0.25">
      <c r="A303" s="29" t="s">
        <v>321</v>
      </c>
      <c r="B303" s="30" t="s">
        <v>321</v>
      </c>
      <c r="C303" s="30" t="s">
        <v>504</v>
      </c>
      <c r="D303" s="30"/>
    </row>
    <row r="304" spans="1:4" x14ac:dyDescent="0.25">
      <c r="A304" s="29" t="s">
        <v>509</v>
      </c>
      <c r="B304" s="30" t="s">
        <v>1357</v>
      </c>
      <c r="C304" s="30"/>
      <c r="D304" s="30"/>
    </row>
    <row r="305" spans="1:4" x14ac:dyDescent="0.25">
      <c r="A305" s="29" t="s">
        <v>513</v>
      </c>
      <c r="B305" s="30" t="s">
        <v>318</v>
      </c>
      <c r="C305" s="30"/>
      <c r="D305" s="30"/>
    </row>
    <row r="306" spans="1:4" x14ac:dyDescent="0.25">
      <c r="A306" s="29" t="s">
        <v>514</v>
      </c>
      <c r="B306" s="30" t="s">
        <v>1358</v>
      </c>
      <c r="C306" s="30" t="s">
        <v>1359</v>
      </c>
      <c r="D306" s="30" t="s">
        <v>515</v>
      </c>
    </row>
    <row r="307" spans="1:4" x14ac:dyDescent="0.25">
      <c r="A307" s="29" t="s">
        <v>521</v>
      </c>
      <c r="B307" s="30" t="s">
        <v>292</v>
      </c>
      <c r="C307" s="30"/>
      <c r="D307" s="30"/>
    </row>
    <row r="308" spans="1:4" x14ac:dyDescent="0.25">
      <c r="A308" s="29" t="s">
        <v>522</v>
      </c>
      <c r="B308" s="30" t="s">
        <v>523</v>
      </c>
      <c r="C308" s="30"/>
      <c r="D308" s="30"/>
    </row>
    <row r="309" spans="1:4" x14ac:dyDescent="0.25">
      <c r="A309" s="29" t="s">
        <v>526</v>
      </c>
      <c r="B309" s="30" t="s">
        <v>80</v>
      </c>
      <c r="C309" s="30" t="s">
        <v>77</v>
      </c>
      <c r="D309" s="30"/>
    </row>
    <row r="310" spans="1:4" x14ac:dyDescent="0.25">
      <c r="A310" s="29" t="s">
        <v>527</v>
      </c>
      <c r="B310" s="30" t="s">
        <v>523</v>
      </c>
      <c r="C310" s="30"/>
      <c r="D310" s="30"/>
    </row>
    <row r="311" spans="1:4" x14ac:dyDescent="0.25">
      <c r="A311" s="29" t="s">
        <v>528</v>
      </c>
      <c r="B311" s="30" t="s">
        <v>523</v>
      </c>
      <c r="C311" s="30"/>
      <c r="D311" s="30"/>
    </row>
    <row r="312" spans="1:4" x14ac:dyDescent="0.25">
      <c r="A312" s="29" t="s">
        <v>523</v>
      </c>
      <c r="B312" s="30" t="s">
        <v>523</v>
      </c>
      <c r="C312" s="30"/>
      <c r="D312" s="30"/>
    </row>
    <row r="313" spans="1:4" x14ac:dyDescent="0.25">
      <c r="A313" s="29" t="s">
        <v>1177</v>
      </c>
      <c r="B313" s="30" t="s">
        <v>146</v>
      </c>
      <c r="C313" s="30"/>
      <c r="D313" s="30"/>
    </row>
    <row r="314" spans="1:4" x14ac:dyDescent="0.25">
      <c r="A314" s="29" t="s">
        <v>1178</v>
      </c>
      <c r="B314" s="30" t="s">
        <v>146</v>
      </c>
      <c r="C314" s="30"/>
      <c r="D314" s="30"/>
    </row>
    <row r="315" spans="1:4" x14ac:dyDescent="0.25">
      <c r="A315" s="29" t="s">
        <v>530</v>
      </c>
      <c r="B315" s="30" t="s">
        <v>531</v>
      </c>
      <c r="C315" s="30"/>
      <c r="D315" s="30"/>
    </row>
    <row r="316" spans="1:4" x14ac:dyDescent="0.25">
      <c r="A316" s="29" t="s">
        <v>1179</v>
      </c>
      <c r="B316" s="30" t="s">
        <v>321</v>
      </c>
      <c r="C316" s="30"/>
      <c r="D316" s="30"/>
    </row>
    <row r="317" spans="1:4" x14ac:dyDescent="0.25">
      <c r="A317" s="29" t="s">
        <v>534</v>
      </c>
      <c r="B317" s="30" t="s">
        <v>257</v>
      </c>
      <c r="C317" s="30"/>
      <c r="D317" s="30"/>
    </row>
    <row r="318" spans="1:4" x14ac:dyDescent="0.25">
      <c r="A318" s="29" t="s">
        <v>535</v>
      </c>
      <c r="B318" s="30" t="s">
        <v>536</v>
      </c>
      <c r="C318" s="30"/>
      <c r="D318" s="30"/>
    </row>
    <row r="319" spans="1:4" x14ac:dyDescent="0.25">
      <c r="A319" s="29" t="s">
        <v>539</v>
      </c>
      <c r="B319" s="30" t="s">
        <v>536</v>
      </c>
      <c r="C319" s="30"/>
      <c r="D319" s="30"/>
    </row>
    <row r="320" spans="1:4" x14ac:dyDescent="0.25">
      <c r="A320" s="29" t="s">
        <v>540</v>
      </c>
      <c r="B320" s="30" t="s">
        <v>257</v>
      </c>
      <c r="C320" s="30"/>
      <c r="D320" s="30"/>
    </row>
    <row r="321" spans="1:4" x14ac:dyDescent="0.25">
      <c r="A321" s="29" t="s">
        <v>541</v>
      </c>
      <c r="B321" s="30" t="s">
        <v>257</v>
      </c>
      <c r="C321" s="30"/>
      <c r="D321" s="30"/>
    </row>
    <row r="322" spans="1:4" x14ac:dyDescent="0.25">
      <c r="A322" s="29" t="s">
        <v>542</v>
      </c>
      <c r="B322" s="30" t="s">
        <v>357</v>
      </c>
      <c r="C322" s="30"/>
      <c r="D322" s="30"/>
    </row>
    <row r="323" spans="1:4" x14ac:dyDescent="0.25">
      <c r="A323" s="29" t="s">
        <v>545</v>
      </c>
      <c r="B323" s="30" t="s">
        <v>703</v>
      </c>
      <c r="C323" s="30"/>
      <c r="D323" s="30"/>
    </row>
    <row r="324" spans="1:4" x14ac:dyDescent="0.25">
      <c r="A324" s="29" t="s">
        <v>546</v>
      </c>
      <c r="B324" s="30" t="s">
        <v>1360</v>
      </c>
      <c r="C324" s="30" t="s">
        <v>550</v>
      </c>
      <c r="D324" s="30"/>
    </row>
    <row r="325" spans="1:4" x14ac:dyDescent="0.25">
      <c r="A325" s="29" t="s">
        <v>552</v>
      </c>
      <c r="B325" s="30" t="s">
        <v>553</v>
      </c>
      <c r="C325" s="30"/>
      <c r="D325" s="30"/>
    </row>
    <row r="326" spans="1:4" x14ac:dyDescent="0.25">
      <c r="A326" s="29" t="s">
        <v>556</v>
      </c>
      <c r="B326" s="30" t="s">
        <v>497</v>
      </c>
      <c r="C326" s="30"/>
      <c r="D326" s="30"/>
    </row>
    <row r="327" spans="1:4" x14ac:dyDescent="0.25">
      <c r="A327" s="29" t="s">
        <v>557</v>
      </c>
      <c r="B327" s="30" t="s">
        <v>497</v>
      </c>
      <c r="C327" s="30"/>
      <c r="D327" s="30"/>
    </row>
    <row r="328" spans="1:4" x14ac:dyDescent="0.25">
      <c r="A328" s="29" t="s">
        <v>558</v>
      </c>
      <c r="B328" s="30" t="s">
        <v>37</v>
      </c>
      <c r="C328" s="30" t="s">
        <v>413</v>
      </c>
      <c r="D328" s="30"/>
    </row>
    <row r="329" spans="1:4" x14ac:dyDescent="0.25">
      <c r="A329" s="29" t="s">
        <v>559</v>
      </c>
      <c r="B329" s="30" t="s">
        <v>413</v>
      </c>
      <c r="C329" s="30"/>
      <c r="D329" s="30"/>
    </row>
    <row r="330" spans="1:4" x14ac:dyDescent="0.25">
      <c r="A330" s="29" t="s">
        <v>560</v>
      </c>
      <c r="B330" s="30" t="s">
        <v>37</v>
      </c>
      <c r="C330" s="30" t="s">
        <v>413</v>
      </c>
      <c r="D330" s="30"/>
    </row>
    <row r="331" spans="1:4" x14ac:dyDescent="0.25">
      <c r="A331" s="29" t="s">
        <v>561</v>
      </c>
      <c r="B331" s="30" t="s">
        <v>413</v>
      </c>
      <c r="C331" s="30"/>
      <c r="D331" s="30"/>
    </row>
    <row r="332" spans="1:4" x14ac:dyDescent="0.25">
      <c r="A332" s="29" t="s">
        <v>562</v>
      </c>
      <c r="B332" s="30" t="s">
        <v>146</v>
      </c>
      <c r="C332" s="30"/>
      <c r="D332" s="30"/>
    </row>
    <row r="333" spans="1:4" x14ac:dyDescent="0.25">
      <c r="A333" s="29" t="s">
        <v>563</v>
      </c>
      <c r="B333" s="30" t="s">
        <v>413</v>
      </c>
      <c r="C333" s="30"/>
      <c r="D333" s="30"/>
    </row>
    <row r="334" spans="1:4" x14ac:dyDescent="0.25">
      <c r="A334" s="29" t="s">
        <v>564</v>
      </c>
      <c r="B334" s="30" t="s">
        <v>564</v>
      </c>
      <c r="C334" s="30" t="s">
        <v>567</v>
      </c>
      <c r="D334" s="30"/>
    </row>
    <row r="335" spans="1:4" x14ac:dyDescent="0.25">
      <c r="A335" s="29" t="s">
        <v>570</v>
      </c>
      <c r="B335" s="30" t="s">
        <v>571</v>
      </c>
      <c r="C335" s="30" t="s">
        <v>338</v>
      </c>
      <c r="D335" s="30"/>
    </row>
    <row r="336" spans="1:4" x14ac:dyDescent="0.25">
      <c r="A336" s="29" t="s">
        <v>575</v>
      </c>
      <c r="B336" s="30" t="s">
        <v>435</v>
      </c>
      <c r="C336" s="30"/>
      <c r="D336" s="30"/>
    </row>
    <row r="337" spans="1:4" x14ac:dyDescent="0.25">
      <c r="A337" s="29" t="s">
        <v>576</v>
      </c>
      <c r="B337" s="30" t="s">
        <v>184</v>
      </c>
      <c r="C337" s="30"/>
      <c r="D337" s="30"/>
    </row>
    <row r="338" spans="1:4" x14ac:dyDescent="0.25">
      <c r="A338" s="29" t="s">
        <v>577</v>
      </c>
      <c r="B338" s="30" t="s">
        <v>578</v>
      </c>
      <c r="C338" s="30"/>
      <c r="D338" s="30"/>
    </row>
    <row r="339" spans="1:4" x14ac:dyDescent="0.25">
      <c r="A339" s="29" t="s">
        <v>581</v>
      </c>
      <c r="B339" s="30" t="s">
        <v>413</v>
      </c>
      <c r="C339" s="30" t="s">
        <v>458</v>
      </c>
      <c r="D339" s="30"/>
    </row>
    <row r="340" spans="1:4" x14ac:dyDescent="0.25">
      <c r="A340" s="29" t="s">
        <v>582</v>
      </c>
      <c r="B340" s="30" t="s">
        <v>458</v>
      </c>
      <c r="C340" s="30"/>
      <c r="D340" s="30"/>
    </row>
    <row r="341" spans="1:4" x14ac:dyDescent="0.25">
      <c r="A341" s="29" t="s">
        <v>585</v>
      </c>
      <c r="B341" s="30" t="s">
        <v>300</v>
      </c>
      <c r="C341" s="30"/>
      <c r="D341" s="30"/>
    </row>
    <row r="342" spans="1:4" x14ac:dyDescent="0.25">
      <c r="A342" s="29" t="s">
        <v>586</v>
      </c>
      <c r="B342" s="30" t="s">
        <v>703</v>
      </c>
      <c r="C342" s="30"/>
      <c r="D342" s="30"/>
    </row>
    <row r="343" spans="1:4" x14ac:dyDescent="0.25">
      <c r="A343" s="29" t="s">
        <v>587</v>
      </c>
      <c r="B343" s="30" t="s">
        <v>703</v>
      </c>
      <c r="C343" s="30"/>
      <c r="D343" s="30"/>
    </row>
    <row r="344" spans="1:4" x14ac:dyDescent="0.25">
      <c r="A344" s="29" t="s">
        <v>588</v>
      </c>
      <c r="B344" s="30" t="s">
        <v>19</v>
      </c>
      <c r="C344" s="30"/>
      <c r="D344" s="30"/>
    </row>
    <row r="345" spans="1:4" x14ac:dyDescent="0.25">
      <c r="A345" s="29" t="s">
        <v>589</v>
      </c>
      <c r="B345" s="30" t="s">
        <v>590</v>
      </c>
      <c r="C345" s="30"/>
      <c r="D345" s="30"/>
    </row>
    <row r="346" spans="1:4" x14ac:dyDescent="0.25">
      <c r="A346" s="29" t="s">
        <v>590</v>
      </c>
      <c r="B346" s="30" t="s">
        <v>590</v>
      </c>
      <c r="C346" s="30"/>
      <c r="D346" s="30"/>
    </row>
    <row r="347" spans="1:4" x14ac:dyDescent="0.25">
      <c r="A347" s="29" t="s">
        <v>593</v>
      </c>
      <c r="B347" s="30" t="s">
        <v>590</v>
      </c>
      <c r="C347" s="30"/>
      <c r="D347" s="30"/>
    </row>
    <row r="348" spans="1:4" x14ac:dyDescent="0.25">
      <c r="A348" s="29" t="s">
        <v>594</v>
      </c>
      <c r="B348" s="30" t="s">
        <v>595</v>
      </c>
      <c r="C348" s="30" t="s">
        <v>598</v>
      </c>
      <c r="D348" s="30"/>
    </row>
    <row r="349" spans="1:4" x14ac:dyDescent="0.25">
      <c r="A349" s="29" t="s">
        <v>601</v>
      </c>
      <c r="B349" s="30" t="s">
        <v>181</v>
      </c>
      <c r="C349" s="30"/>
      <c r="D349" s="30"/>
    </row>
    <row r="350" spans="1:4" x14ac:dyDescent="0.25">
      <c r="A350" s="29" t="s">
        <v>602</v>
      </c>
      <c r="B350" s="30" t="s">
        <v>263</v>
      </c>
      <c r="C350" s="30"/>
      <c r="D350" s="30"/>
    </row>
    <row r="351" spans="1:4" x14ac:dyDescent="0.25">
      <c r="A351" s="29" t="s">
        <v>603</v>
      </c>
      <c r="B351" s="30" t="s">
        <v>489</v>
      </c>
      <c r="C351" s="30"/>
      <c r="D351" s="30"/>
    </row>
    <row r="352" spans="1:4" x14ac:dyDescent="0.25">
      <c r="A352" s="29" t="s">
        <v>604</v>
      </c>
      <c r="B352" s="30" t="s">
        <v>338</v>
      </c>
      <c r="C352" s="30"/>
      <c r="D352" s="30"/>
    </row>
    <row r="353" spans="1:4" x14ac:dyDescent="0.25">
      <c r="A353" s="29" t="s">
        <v>605</v>
      </c>
      <c r="B353" s="30" t="s">
        <v>553</v>
      </c>
      <c r="C353" s="30"/>
      <c r="D353" s="30"/>
    </row>
    <row r="354" spans="1:4" x14ac:dyDescent="0.25">
      <c r="A354" s="29" t="s">
        <v>606</v>
      </c>
      <c r="B354" s="30" t="s">
        <v>263</v>
      </c>
      <c r="C354" s="30"/>
      <c r="D354" s="30"/>
    </row>
    <row r="355" spans="1:4" x14ac:dyDescent="0.25">
      <c r="A355" s="29" t="s">
        <v>607</v>
      </c>
      <c r="B355" s="30" t="s">
        <v>611</v>
      </c>
      <c r="C355" s="30" t="s">
        <v>608</v>
      </c>
      <c r="D355" s="30" t="s">
        <v>614</v>
      </c>
    </row>
    <row r="356" spans="1:4" x14ac:dyDescent="0.25">
      <c r="A356" s="29" t="s">
        <v>617</v>
      </c>
      <c r="B356" s="30" t="s">
        <v>611</v>
      </c>
      <c r="C356" s="30"/>
      <c r="D356" s="30"/>
    </row>
    <row r="357" spans="1:4" x14ac:dyDescent="0.25">
      <c r="A357" s="29" t="s">
        <v>618</v>
      </c>
      <c r="B357" s="30" t="s">
        <v>608</v>
      </c>
      <c r="C357" s="30"/>
      <c r="D357" s="30"/>
    </row>
    <row r="358" spans="1:4" x14ac:dyDescent="0.25">
      <c r="A358" s="29" t="s">
        <v>619</v>
      </c>
      <c r="B358" s="30" t="s">
        <v>608</v>
      </c>
      <c r="C358" s="30"/>
      <c r="D358" s="30"/>
    </row>
    <row r="359" spans="1:4" x14ac:dyDescent="0.25">
      <c r="A359" s="29" t="s">
        <v>620</v>
      </c>
      <c r="B359" s="30" t="s">
        <v>611</v>
      </c>
      <c r="C359" s="30"/>
      <c r="D359" s="30"/>
    </row>
    <row r="360" spans="1:4" x14ac:dyDescent="0.25">
      <c r="A360" s="29" t="s">
        <v>621</v>
      </c>
      <c r="B360" s="30" t="s">
        <v>611</v>
      </c>
      <c r="C360" s="30" t="s">
        <v>614</v>
      </c>
      <c r="D360" s="30"/>
    </row>
    <row r="361" spans="1:4" x14ac:dyDescent="0.25">
      <c r="A361" s="29" t="s">
        <v>622</v>
      </c>
      <c r="B361" s="30" t="s">
        <v>614</v>
      </c>
      <c r="C361" s="30"/>
      <c r="D361" s="30"/>
    </row>
    <row r="362" spans="1:4" x14ac:dyDescent="0.25">
      <c r="A362" s="29" t="s">
        <v>623</v>
      </c>
      <c r="B362" s="30" t="s">
        <v>624</v>
      </c>
      <c r="C362" s="30"/>
      <c r="D362" s="30"/>
    </row>
    <row r="363" spans="1:4" x14ac:dyDescent="0.25">
      <c r="A363" s="29" t="s">
        <v>1708</v>
      </c>
      <c r="B363" s="30" t="s">
        <v>624</v>
      </c>
      <c r="C363" s="30"/>
      <c r="D363" s="30"/>
    </row>
    <row r="364" spans="1:4" x14ac:dyDescent="0.25">
      <c r="A364" s="29" t="s">
        <v>628</v>
      </c>
      <c r="B364" s="30" t="s">
        <v>624</v>
      </c>
      <c r="C364" s="30"/>
      <c r="D364" s="30"/>
    </row>
    <row r="365" spans="1:4" x14ac:dyDescent="0.25">
      <c r="A365" s="29" t="s">
        <v>1709</v>
      </c>
      <c r="B365" s="30" t="s">
        <v>752</v>
      </c>
      <c r="C365" s="30" t="s">
        <v>630</v>
      </c>
      <c r="D365" s="30" t="s">
        <v>1159</v>
      </c>
    </row>
    <row r="366" spans="1:4" x14ac:dyDescent="0.25">
      <c r="A366" s="29" t="s">
        <v>632</v>
      </c>
      <c r="B366" s="30" t="s">
        <v>633</v>
      </c>
      <c r="C366" s="30"/>
      <c r="D366" s="30"/>
    </row>
    <row r="367" spans="1:4" x14ac:dyDescent="0.25">
      <c r="A367" s="29" t="s">
        <v>636</v>
      </c>
      <c r="B367" s="30" t="s">
        <v>458</v>
      </c>
      <c r="C367" s="30"/>
      <c r="D367" s="30"/>
    </row>
    <row r="368" spans="1:4" x14ac:dyDescent="0.25">
      <c r="A368" s="29" t="s">
        <v>637</v>
      </c>
      <c r="B368" s="30" t="s">
        <v>40</v>
      </c>
      <c r="C368" s="30" t="s">
        <v>43</v>
      </c>
      <c r="D368" s="30" t="s">
        <v>46</v>
      </c>
    </row>
    <row r="369" spans="1:4" x14ac:dyDescent="0.25">
      <c r="A369" s="29" t="s">
        <v>638</v>
      </c>
      <c r="B369" s="30" t="s">
        <v>40</v>
      </c>
      <c r="C369" s="30" t="s">
        <v>43</v>
      </c>
      <c r="D369" s="30" t="s">
        <v>46</v>
      </c>
    </row>
    <row r="370" spans="1:4" x14ac:dyDescent="0.25">
      <c r="A370" s="29" t="s">
        <v>639</v>
      </c>
      <c r="B370" s="30" t="s">
        <v>640</v>
      </c>
      <c r="C370" s="30"/>
      <c r="D370" s="30"/>
    </row>
    <row r="371" spans="1:4" x14ac:dyDescent="0.25">
      <c r="A371" s="29" t="s">
        <v>643</v>
      </c>
      <c r="B371" s="30" t="s">
        <v>1361</v>
      </c>
      <c r="C371" s="30" t="s">
        <v>1362</v>
      </c>
      <c r="D371" s="30" t="s">
        <v>1363</v>
      </c>
    </row>
    <row r="372" spans="1:4" x14ac:dyDescent="0.25">
      <c r="A372" s="29" t="s">
        <v>653</v>
      </c>
      <c r="B372" s="30" t="s">
        <v>654</v>
      </c>
      <c r="C372" s="30"/>
      <c r="D372" s="30"/>
    </row>
    <row r="373" spans="1:4" x14ac:dyDescent="0.25">
      <c r="A373" s="29" t="s">
        <v>657</v>
      </c>
      <c r="B373" s="30" t="s">
        <v>654</v>
      </c>
      <c r="C373" s="30"/>
      <c r="D373" s="30"/>
    </row>
    <row r="374" spans="1:4" x14ac:dyDescent="0.25">
      <c r="A374" s="29" t="s">
        <v>658</v>
      </c>
      <c r="B374" s="30" t="s">
        <v>1364</v>
      </c>
      <c r="C374" s="30" t="s">
        <v>1365</v>
      </c>
      <c r="D374" s="30"/>
    </row>
    <row r="375" spans="1:4" x14ac:dyDescent="0.25">
      <c r="A375" s="29" t="s">
        <v>665</v>
      </c>
      <c r="B375" s="30" t="s">
        <v>80</v>
      </c>
      <c r="C375" s="30" t="s">
        <v>77</v>
      </c>
      <c r="D375" s="30"/>
    </row>
    <row r="376" spans="1:4" x14ac:dyDescent="0.25">
      <c r="A376" s="29" t="s">
        <v>666</v>
      </c>
      <c r="B376" s="30" t="s">
        <v>19</v>
      </c>
      <c r="C376" s="30"/>
      <c r="D376" s="30"/>
    </row>
    <row r="377" spans="1:4" x14ac:dyDescent="0.25">
      <c r="A377" s="29" t="s">
        <v>668</v>
      </c>
      <c r="B377" s="30" t="s">
        <v>19</v>
      </c>
      <c r="C377" s="30"/>
      <c r="D377" s="30"/>
    </row>
    <row r="378" spans="1:4" x14ac:dyDescent="0.25">
      <c r="A378" s="29" t="s">
        <v>669</v>
      </c>
      <c r="B378" s="30" t="s">
        <v>703</v>
      </c>
      <c r="C378" s="30" t="s">
        <v>365</v>
      </c>
      <c r="D378" s="30" t="s">
        <v>362</v>
      </c>
    </row>
    <row r="379" spans="1:4" x14ac:dyDescent="0.25">
      <c r="A379" s="29" t="s">
        <v>670</v>
      </c>
      <c r="B379" s="30" t="s">
        <v>112</v>
      </c>
      <c r="C379" s="30" t="s">
        <v>115</v>
      </c>
      <c r="D379" s="30"/>
    </row>
    <row r="380" spans="1:4" x14ac:dyDescent="0.25">
      <c r="A380" s="29" t="s">
        <v>671</v>
      </c>
      <c r="B380" s="30" t="s">
        <v>112</v>
      </c>
      <c r="C380" s="30" t="s">
        <v>115</v>
      </c>
      <c r="D380" s="30"/>
    </row>
    <row r="381" spans="1:4" x14ac:dyDescent="0.25">
      <c r="A381" s="29" t="s">
        <v>672</v>
      </c>
      <c r="B381" s="30" t="s">
        <v>673</v>
      </c>
      <c r="C381" s="30"/>
      <c r="D381" s="30"/>
    </row>
    <row r="382" spans="1:4" x14ac:dyDescent="0.25">
      <c r="A382" s="29" t="s">
        <v>676</v>
      </c>
      <c r="B382" s="30" t="s">
        <v>468</v>
      </c>
      <c r="C382" s="30"/>
      <c r="D382" s="30"/>
    </row>
    <row r="383" spans="1:4" x14ac:dyDescent="0.25">
      <c r="A383" s="29" t="s">
        <v>677</v>
      </c>
      <c r="B383" s="30" t="s">
        <v>468</v>
      </c>
      <c r="C383" s="30"/>
      <c r="D383" s="30"/>
    </row>
    <row r="384" spans="1:4" x14ac:dyDescent="0.25">
      <c r="A384" s="29" t="s">
        <v>678</v>
      </c>
      <c r="B384" s="30" t="s">
        <v>80</v>
      </c>
      <c r="C384" s="30" t="s">
        <v>77</v>
      </c>
      <c r="D384" s="30"/>
    </row>
    <row r="385" spans="1:4" x14ac:dyDescent="0.25">
      <c r="A385" s="29" t="s">
        <v>680</v>
      </c>
      <c r="B385" s="30" t="s">
        <v>681</v>
      </c>
      <c r="C385" s="30"/>
      <c r="D385" s="30"/>
    </row>
    <row r="386" spans="1:4" x14ac:dyDescent="0.25">
      <c r="A386" s="29" t="s">
        <v>684</v>
      </c>
      <c r="B386" s="30" t="s">
        <v>681</v>
      </c>
      <c r="C386" s="30"/>
      <c r="D386" s="30"/>
    </row>
    <row r="387" spans="1:4" x14ac:dyDescent="0.25">
      <c r="A387" s="29" t="s">
        <v>685</v>
      </c>
      <c r="B387" s="30" t="s">
        <v>292</v>
      </c>
      <c r="C387" s="30"/>
      <c r="D387" s="30"/>
    </row>
    <row r="388" spans="1:4" x14ac:dyDescent="0.25">
      <c r="A388" s="29" t="s">
        <v>686</v>
      </c>
      <c r="B388" s="30" t="s">
        <v>292</v>
      </c>
      <c r="C388" s="30"/>
      <c r="D388" s="30"/>
    </row>
  </sheetData>
  <phoneticPr fontId="1"/>
  <pageMargins left="0.7" right="0.7" top="0.75" bottom="0.75" header="0.3" footer="0.3"/>
  <pageSetup paperSize="9"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FC150-2895-4283-940C-E508207212C0}">
  <dimension ref="A1:F146"/>
  <sheetViews>
    <sheetView tabSelected="1" zoomScale="85" zoomScaleNormal="85" workbookViewId="0"/>
  </sheetViews>
  <sheetFormatPr defaultColWidth="8.88671875" defaultRowHeight="15.75" x14ac:dyDescent="0.25"/>
  <cols>
    <col min="1" max="1" width="39.21875" style="4" bestFit="1" customWidth="1"/>
    <col min="2" max="2" width="61.88671875" style="4" bestFit="1" customWidth="1"/>
    <col min="3" max="3" width="173.88671875" style="4" bestFit="1" customWidth="1"/>
    <col min="4" max="4" width="255.77734375" style="4" bestFit="1" customWidth="1"/>
    <col min="5" max="5" width="8.44140625" style="4" bestFit="1" customWidth="1"/>
    <col min="6" max="6" width="12.6640625" style="4" bestFit="1" customWidth="1"/>
    <col min="7" max="16384" width="8.88671875" style="4"/>
  </cols>
  <sheetData>
    <row r="1" spans="1:6" x14ac:dyDescent="0.25">
      <c r="A1" s="4" t="s">
        <v>1417</v>
      </c>
    </row>
    <row r="2" spans="1:6" x14ac:dyDescent="0.25">
      <c r="A2" s="4" t="s">
        <v>5</v>
      </c>
      <c r="B2" s="4" t="s">
        <v>3</v>
      </c>
      <c r="C2" s="4" t="s">
        <v>4</v>
      </c>
      <c r="D2" s="4" t="s">
        <v>772</v>
      </c>
      <c r="E2" s="4" t="s">
        <v>6</v>
      </c>
      <c r="F2" s="4" t="s">
        <v>2</v>
      </c>
    </row>
    <row r="3" spans="1:6" x14ac:dyDescent="0.25">
      <c r="A3" s="4" t="s">
        <v>109</v>
      </c>
      <c r="B3" s="4" t="s">
        <v>107</v>
      </c>
      <c r="C3" s="4" t="s">
        <v>108</v>
      </c>
      <c r="D3" s="4" t="s">
        <v>1368</v>
      </c>
      <c r="E3" s="4" t="s">
        <v>1369</v>
      </c>
      <c r="F3" s="4">
        <v>1</v>
      </c>
    </row>
    <row r="4" spans="1:6" x14ac:dyDescent="0.25">
      <c r="A4" s="4" t="s">
        <v>437</v>
      </c>
      <c r="B4" s="4" t="s">
        <v>435</v>
      </c>
      <c r="C4" s="4" t="s">
        <v>436</v>
      </c>
      <c r="D4" s="4" t="s">
        <v>775</v>
      </c>
      <c r="E4" s="4" t="s">
        <v>1369</v>
      </c>
      <c r="F4" s="4">
        <v>1</v>
      </c>
    </row>
    <row r="5" spans="1:6" x14ac:dyDescent="0.25">
      <c r="A5" s="4" t="s">
        <v>427</v>
      </c>
      <c r="B5" s="4" t="s">
        <v>425</v>
      </c>
      <c r="C5" s="4" t="s">
        <v>426</v>
      </c>
      <c r="D5" s="4" t="s">
        <v>776</v>
      </c>
      <c r="E5" s="4" t="s">
        <v>1369</v>
      </c>
      <c r="F5" s="4">
        <v>1</v>
      </c>
    </row>
    <row r="6" spans="1:6" x14ac:dyDescent="0.25">
      <c r="A6" s="4" t="s">
        <v>114</v>
      </c>
      <c r="B6" s="4" t="s">
        <v>112</v>
      </c>
      <c r="C6" s="4" t="s">
        <v>113</v>
      </c>
      <c r="D6" s="4" t="s">
        <v>1370</v>
      </c>
      <c r="E6" s="4" t="s">
        <v>1369</v>
      </c>
      <c r="F6" s="4">
        <v>1</v>
      </c>
    </row>
    <row r="7" spans="1:6" x14ac:dyDescent="0.25">
      <c r="A7" s="4" t="s">
        <v>117</v>
      </c>
      <c r="B7" s="4" t="s">
        <v>115</v>
      </c>
      <c r="C7" s="4" t="s">
        <v>116</v>
      </c>
      <c r="D7" s="4" t="s">
        <v>1370</v>
      </c>
      <c r="E7" s="4" t="s">
        <v>1369</v>
      </c>
      <c r="F7" s="4">
        <v>2</v>
      </c>
    </row>
    <row r="8" spans="1:6" x14ac:dyDescent="0.25">
      <c r="A8" s="4" t="s">
        <v>441</v>
      </c>
      <c r="B8" s="4" t="s">
        <v>439</v>
      </c>
      <c r="C8" s="4" t="s">
        <v>440</v>
      </c>
      <c r="D8" s="4" t="s">
        <v>791</v>
      </c>
      <c r="E8" s="4" t="s">
        <v>1369</v>
      </c>
      <c r="F8" s="4">
        <v>1</v>
      </c>
    </row>
    <row r="9" spans="1:6" x14ac:dyDescent="0.25">
      <c r="A9" s="4" t="s">
        <v>21</v>
      </c>
      <c r="B9" s="4" t="s">
        <v>703</v>
      </c>
      <c r="C9" s="4" t="s">
        <v>793</v>
      </c>
      <c r="D9" s="4" t="s">
        <v>1716</v>
      </c>
      <c r="E9" s="4" t="s">
        <v>1369</v>
      </c>
      <c r="F9" s="4">
        <v>1</v>
      </c>
    </row>
    <row r="10" spans="1:6" x14ac:dyDescent="0.25">
      <c r="A10" s="4" t="s">
        <v>259</v>
      </c>
      <c r="B10" s="4" t="s">
        <v>257</v>
      </c>
      <c r="C10" s="4" t="s">
        <v>258</v>
      </c>
      <c r="D10" s="4" t="s">
        <v>795</v>
      </c>
      <c r="E10" s="4" t="s">
        <v>1369</v>
      </c>
      <c r="F10" s="4">
        <v>1</v>
      </c>
    </row>
    <row r="11" spans="1:6" x14ac:dyDescent="0.25">
      <c r="A11" s="4" t="s">
        <v>631</v>
      </c>
      <c r="B11" s="4" t="s">
        <v>630</v>
      </c>
      <c r="C11" s="4" t="s">
        <v>267</v>
      </c>
      <c r="D11" s="4" t="s">
        <v>803</v>
      </c>
      <c r="E11" s="4" t="s">
        <v>1369</v>
      </c>
      <c r="F11" s="4">
        <v>3</v>
      </c>
    </row>
    <row r="12" spans="1:6" x14ac:dyDescent="0.25">
      <c r="A12" s="4" t="s">
        <v>806</v>
      </c>
      <c r="B12" s="4" t="s">
        <v>752</v>
      </c>
      <c r="C12" s="4" t="s">
        <v>1011</v>
      </c>
      <c r="D12" s="4" t="s">
        <v>805</v>
      </c>
      <c r="E12" s="4" t="s">
        <v>1369</v>
      </c>
      <c r="F12" s="4">
        <v>2</v>
      </c>
    </row>
    <row r="13" spans="1:6" x14ac:dyDescent="0.25">
      <c r="A13" s="4" t="s">
        <v>809</v>
      </c>
      <c r="B13" s="4" t="s">
        <v>1159</v>
      </c>
      <c r="C13" s="4" t="s">
        <v>1160</v>
      </c>
      <c r="D13" s="4" t="s">
        <v>805</v>
      </c>
      <c r="E13" s="4" t="s">
        <v>1369</v>
      </c>
      <c r="F13" s="4">
        <v>3</v>
      </c>
    </row>
    <row r="14" spans="1:6" x14ac:dyDescent="0.25">
      <c r="A14" s="4" t="s">
        <v>814</v>
      </c>
      <c r="B14" s="4" t="s">
        <v>1162</v>
      </c>
      <c r="C14" s="4" t="s">
        <v>1163</v>
      </c>
      <c r="D14" s="4" t="s">
        <v>817</v>
      </c>
      <c r="E14" s="4" t="s">
        <v>1369</v>
      </c>
      <c r="F14" s="4">
        <v>1</v>
      </c>
    </row>
    <row r="15" spans="1:6" x14ac:dyDescent="0.25">
      <c r="A15" s="4" t="s">
        <v>359</v>
      </c>
      <c r="B15" s="4" t="s">
        <v>357</v>
      </c>
      <c r="C15" s="4" t="s">
        <v>358</v>
      </c>
      <c r="D15" s="4" t="s">
        <v>818</v>
      </c>
      <c r="E15" s="4" t="s">
        <v>1369</v>
      </c>
      <c r="F15" s="4">
        <v>3</v>
      </c>
    </row>
    <row r="16" spans="1:6" x14ac:dyDescent="0.25">
      <c r="A16" s="4" t="s">
        <v>82</v>
      </c>
      <c r="B16" s="4" t="s">
        <v>80</v>
      </c>
      <c r="C16" s="4" t="s">
        <v>81</v>
      </c>
      <c r="D16" s="4" t="s">
        <v>1371</v>
      </c>
      <c r="E16" s="4" t="s">
        <v>1369</v>
      </c>
      <c r="F16" s="4">
        <v>1</v>
      </c>
    </row>
    <row r="17" spans="1:6" x14ac:dyDescent="0.25">
      <c r="A17" s="4" t="s">
        <v>79</v>
      </c>
      <c r="B17" s="4" t="s">
        <v>77</v>
      </c>
      <c r="C17" s="4" t="s">
        <v>78</v>
      </c>
      <c r="D17" s="4" t="s">
        <v>1371</v>
      </c>
      <c r="E17" s="4" t="s">
        <v>1369</v>
      </c>
      <c r="F17" s="4">
        <v>2</v>
      </c>
    </row>
    <row r="18" spans="1:6" x14ac:dyDescent="0.25">
      <c r="A18" s="4" t="s">
        <v>499</v>
      </c>
      <c r="B18" s="4" t="s">
        <v>497</v>
      </c>
      <c r="C18" s="4" t="s">
        <v>498</v>
      </c>
      <c r="D18" s="4" t="s">
        <v>821</v>
      </c>
      <c r="E18" s="4" t="s">
        <v>1369</v>
      </c>
      <c r="F18" s="4">
        <v>3</v>
      </c>
    </row>
    <row r="19" spans="1:6" x14ac:dyDescent="0.25">
      <c r="A19" s="4" t="s">
        <v>367</v>
      </c>
      <c r="B19" s="4" t="s">
        <v>365</v>
      </c>
      <c r="C19" s="4" t="s">
        <v>366</v>
      </c>
      <c r="D19" s="4" t="s">
        <v>827</v>
      </c>
      <c r="E19" s="4" t="s">
        <v>1369</v>
      </c>
      <c r="F19" s="4">
        <v>2</v>
      </c>
    </row>
    <row r="20" spans="1:6" x14ac:dyDescent="0.25">
      <c r="A20" s="4" t="s">
        <v>364</v>
      </c>
      <c r="B20" s="4" t="s">
        <v>362</v>
      </c>
      <c r="C20" s="4" t="s">
        <v>363</v>
      </c>
      <c r="D20" s="4" t="s">
        <v>827</v>
      </c>
      <c r="E20" s="4" t="s">
        <v>1369</v>
      </c>
      <c r="F20" s="4">
        <v>3</v>
      </c>
    </row>
    <row r="21" spans="1:6" x14ac:dyDescent="0.25">
      <c r="A21" s="4" t="s">
        <v>370</v>
      </c>
      <c r="B21" s="4" t="s">
        <v>368</v>
      </c>
      <c r="C21" s="4" t="s">
        <v>369</v>
      </c>
      <c r="D21" s="4" t="s">
        <v>1372</v>
      </c>
      <c r="E21" s="4" t="s">
        <v>1369</v>
      </c>
      <c r="F21" s="4">
        <v>1</v>
      </c>
    </row>
    <row r="22" spans="1:6" x14ac:dyDescent="0.25">
      <c r="A22" s="4" t="s">
        <v>59</v>
      </c>
      <c r="B22" s="4" t="s">
        <v>57</v>
      </c>
      <c r="C22" s="4" t="s">
        <v>58</v>
      </c>
      <c r="D22" s="4" t="s">
        <v>830</v>
      </c>
      <c r="E22" s="4" t="s">
        <v>1369</v>
      </c>
      <c r="F22" s="4">
        <v>1</v>
      </c>
    </row>
    <row r="23" spans="1:6" x14ac:dyDescent="0.25">
      <c r="A23" s="4" t="s">
        <v>566</v>
      </c>
      <c r="B23" s="4" t="s">
        <v>564</v>
      </c>
      <c r="C23" s="4" t="s">
        <v>565</v>
      </c>
      <c r="D23" s="4" t="s">
        <v>831</v>
      </c>
      <c r="E23" s="4" t="s">
        <v>1369</v>
      </c>
      <c r="F23" s="4">
        <v>1</v>
      </c>
    </row>
    <row r="24" spans="1:6" x14ac:dyDescent="0.25">
      <c r="A24" s="4" t="s">
        <v>569</v>
      </c>
      <c r="B24" s="4" t="s">
        <v>567</v>
      </c>
      <c r="C24" s="4" t="s">
        <v>568</v>
      </c>
      <c r="D24" s="4" t="s">
        <v>831</v>
      </c>
      <c r="E24" s="4" t="s">
        <v>1369</v>
      </c>
      <c r="F24" s="4">
        <v>2</v>
      </c>
    </row>
    <row r="25" spans="1:6" x14ac:dyDescent="0.25">
      <c r="A25" s="4" t="s">
        <v>351</v>
      </c>
      <c r="B25" s="4" t="s">
        <v>349</v>
      </c>
      <c r="C25" s="4" t="s">
        <v>350</v>
      </c>
      <c r="D25" s="4" t="s">
        <v>832</v>
      </c>
      <c r="E25" s="4" t="s">
        <v>1369</v>
      </c>
      <c r="F25" s="4">
        <v>1</v>
      </c>
    </row>
    <row r="26" spans="1:6" x14ac:dyDescent="0.25">
      <c r="A26" s="4" t="s">
        <v>683</v>
      </c>
      <c r="B26" s="4" t="s">
        <v>681</v>
      </c>
      <c r="C26" s="4" t="s">
        <v>682</v>
      </c>
      <c r="D26" s="4" t="s">
        <v>833</v>
      </c>
      <c r="E26" s="4" t="s">
        <v>1369</v>
      </c>
      <c r="F26" s="4">
        <v>1</v>
      </c>
    </row>
    <row r="27" spans="1:6" x14ac:dyDescent="0.25">
      <c r="A27" s="4" t="s">
        <v>328</v>
      </c>
      <c r="B27" s="4" t="s">
        <v>326</v>
      </c>
      <c r="C27" s="4" t="s">
        <v>327</v>
      </c>
      <c r="D27" s="4" t="s">
        <v>834</v>
      </c>
      <c r="E27" s="4" t="s">
        <v>1369</v>
      </c>
      <c r="F27" s="4">
        <v>1</v>
      </c>
    </row>
    <row r="28" spans="1:6" x14ac:dyDescent="0.25">
      <c r="A28" s="4" t="s">
        <v>398</v>
      </c>
      <c r="B28" s="4" t="s">
        <v>396</v>
      </c>
      <c r="C28" s="4" t="s">
        <v>397</v>
      </c>
      <c r="D28" s="4" t="s">
        <v>835</v>
      </c>
      <c r="E28" s="4" t="s">
        <v>1369</v>
      </c>
      <c r="F28" s="4">
        <v>1</v>
      </c>
    </row>
    <row r="29" spans="1:6" x14ac:dyDescent="0.25">
      <c r="A29" s="4" t="s">
        <v>404</v>
      </c>
      <c r="B29" s="4" t="s">
        <v>402</v>
      </c>
      <c r="C29" s="4" t="s">
        <v>403</v>
      </c>
      <c r="D29" s="4" t="s">
        <v>836</v>
      </c>
      <c r="E29" s="4" t="s">
        <v>1369</v>
      </c>
      <c r="F29" s="4">
        <v>1</v>
      </c>
    </row>
    <row r="30" spans="1:6" x14ac:dyDescent="0.25">
      <c r="A30" s="4" t="s">
        <v>454</v>
      </c>
      <c r="B30" s="4" t="s">
        <v>452</v>
      </c>
      <c r="C30" s="4" t="s">
        <v>453</v>
      </c>
      <c r="D30" s="4" t="s">
        <v>837</v>
      </c>
      <c r="E30" s="4" t="s">
        <v>1369</v>
      </c>
      <c r="F30" s="4">
        <v>1</v>
      </c>
    </row>
    <row r="31" spans="1:6" x14ac:dyDescent="0.25">
      <c r="A31" s="4" t="s">
        <v>451</v>
      </c>
      <c r="B31" s="4" t="s">
        <v>1021</v>
      </c>
      <c r="C31" s="4" t="s">
        <v>1022</v>
      </c>
      <c r="D31" s="4" t="s">
        <v>837</v>
      </c>
      <c r="E31" s="4" t="s">
        <v>1369</v>
      </c>
      <c r="F31" s="4">
        <v>2</v>
      </c>
    </row>
    <row r="32" spans="1:6" x14ac:dyDescent="0.25">
      <c r="A32" s="4" t="s">
        <v>484</v>
      </c>
      <c r="B32" s="4" t="s">
        <v>482</v>
      </c>
      <c r="C32" s="4" t="s">
        <v>483</v>
      </c>
      <c r="D32" s="4" t="s">
        <v>838</v>
      </c>
      <c r="E32" s="4" t="s">
        <v>1369</v>
      </c>
      <c r="F32" s="4">
        <v>1</v>
      </c>
    </row>
    <row r="33" spans="1:6" x14ac:dyDescent="0.25">
      <c r="A33" s="4" t="s">
        <v>481</v>
      </c>
      <c r="B33" s="4" t="s">
        <v>480</v>
      </c>
      <c r="C33" s="4" t="s">
        <v>1023</v>
      </c>
      <c r="D33" s="4" t="s">
        <v>838</v>
      </c>
      <c r="E33" s="4" t="s">
        <v>1369</v>
      </c>
      <c r="F33" s="4">
        <v>2</v>
      </c>
    </row>
    <row r="34" spans="1:6" x14ac:dyDescent="0.25">
      <c r="A34" s="4" t="s">
        <v>233</v>
      </c>
      <c r="B34" s="4" t="s">
        <v>231</v>
      </c>
      <c r="C34" s="4" t="s">
        <v>232</v>
      </c>
      <c r="D34" s="4" t="s">
        <v>840</v>
      </c>
      <c r="E34" s="4" t="s">
        <v>1369</v>
      </c>
      <c r="F34" s="4">
        <v>1</v>
      </c>
    </row>
    <row r="35" spans="1:6" x14ac:dyDescent="0.25">
      <c r="A35" s="4" t="s">
        <v>421</v>
      </c>
      <c r="B35" s="4" t="s">
        <v>419</v>
      </c>
      <c r="C35" s="4" t="s">
        <v>420</v>
      </c>
      <c r="D35" s="4" t="s">
        <v>841</v>
      </c>
      <c r="E35" s="4" t="s">
        <v>1369</v>
      </c>
      <c r="F35" s="4">
        <v>1</v>
      </c>
    </row>
    <row r="36" spans="1:6" x14ac:dyDescent="0.25">
      <c r="A36" s="4" t="s">
        <v>675</v>
      </c>
      <c r="B36" s="4" t="s">
        <v>673</v>
      </c>
      <c r="C36" s="4" t="s">
        <v>674</v>
      </c>
      <c r="D36" s="4" t="s">
        <v>842</v>
      </c>
      <c r="E36" s="4" t="s">
        <v>1369</v>
      </c>
      <c r="F36" s="4">
        <v>1</v>
      </c>
    </row>
    <row r="37" spans="1:6" x14ac:dyDescent="0.25">
      <c r="A37" s="4" t="s">
        <v>183</v>
      </c>
      <c r="B37" s="4" t="s">
        <v>181</v>
      </c>
      <c r="C37" s="4" t="s">
        <v>182</v>
      </c>
      <c r="D37" s="4" t="s">
        <v>1373</v>
      </c>
      <c r="E37" s="4" t="s">
        <v>1369</v>
      </c>
      <c r="F37" s="4">
        <v>1</v>
      </c>
    </row>
    <row r="38" spans="1:6" x14ac:dyDescent="0.25">
      <c r="A38" s="4" t="s">
        <v>466</v>
      </c>
      <c r="B38" s="4" t="s">
        <v>464</v>
      </c>
      <c r="C38" s="4" t="s">
        <v>465</v>
      </c>
      <c r="D38" s="4" t="s">
        <v>844</v>
      </c>
      <c r="E38" s="4" t="s">
        <v>1369</v>
      </c>
      <c r="F38" s="4">
        <v>1</v>
      </c>
    </row>
    <row r="39" spans="1:6" x14ac:dyDescent="0.25">
      <c r="A39" s="4" t="s">
        <v>409</v>
      </c>
      <c r="B39" s="4" t="s">
        <v>407</v>
      </c>
      <c r="C39" s="4" t="s">
        <v>408</v>
      </c>
      <c r="D39" s="4" t="s">
        <v>845</v>
      </c>
      <c r="E39" s="4" t="s">
        <v>1369</v>
      </c>
      <c r="F39" s="4">
        <v>1</v>
      </c>
    </row>
    <row r="40" spans="1:6" x14ac:dyDescent="0.25">
      <c r="A40" s="4" t="s">
        <v>379</v>
      </c>
      <c r="B40" s="4" t="s">
        <v>377</v>
      </c>
      <c r="C40" s="4" t="s">
        <v>378</v>
      </c>
      <c r="D40" s="4" t="s">
        <v>846</v>
      </c>
      <c r="E40" s="4" t="s">
        <v>1369</v>
      </c>
      <c r="F40" s="4">
        <v>1</v>
      </c>
    </row>
    <row r="41" spans="1:6" x14ac:dyDescent="0.25">
      <c r="A41" s="4" t="s">
        <v>533</v>
      </c>
      <c r="B41" s="4" t="s">
        <v>531</v>
      </c>
      <c r="C41" s="4" t="s">
        <v>532</v>
      </c>
      <c r="D41" s="4" t="s">
        <v>847</v>
      </c>
      <c r="E41" s="4" t="s">
        <v>1369</v>
      </c>
      <c r="F41" s="4">
        <v>1</v>
      </c>
    </row>
    <row r="42" spans="1:6" x14ac:dyDescent="0.25">
      <c r="A42" s="4" t="s">
        <v>241</v>
      </c>
      <c r="B42" s="4" t="s">
        <v>239</v>
      </c>
      <c r="C42" s="4" t="s">
        <v>240</v>
      </c>
      <c r="D42" s="4" t="s">
        <v>1374</v>
      </c>
      <c r="E42" s="4" t="s">
        <v>1369</v>
      </c>
      <c r="F42" s="4">
        <v>1</v>
      </c>
    </row>
    <row r="43" spans="1:6" x14ac:dyDescent="0.25">
      <c r="A43" s="4" t="s">
        <v>336</v>
      </c>
      <c r="B43" s="4" t="s">
        <v>334</v>
      </c>
      <c r="C43" s="4" t="s">
        <v>335</v>
      </c>
      <c r="D43" s="4" t="s">
        <v>849</v>
      </c>
      <c r="E43" s="4" t="s">
        <v>1369</v>
      </c>
      <c r="F43" s="4">
        <v>1</v>
      </c>
    </row>
    <row r="44" spans="1:6" x14ac:dyDescent="0.25">
      <c r="A44" s="4" t="s">
        <v>656</v>
      </c>
      <c r="B44" s="4" t="s">
        <v>654</v>
      </c>
      <c r="C44" s="4" t="s">
        <v>655</v>
      </c>
      <c r="D44" s="4" t="s">
        <v>850</v>
      </c>
      <c r="E44" s="4" t="s">
        <v>1369</v>
      </c>
      <c r="F44" s="4">
        <v>1</v>
      </c>
    </row>
    <row r="45" spans="1:6" x14ac:dyDescent="0.25">
      <c r="A45" s="4" t="s">
        <v>555</v>
      </c>
      <c r="B45" s="4" t="s">
        <v>553</v>
      </c>
      <c r="C45" s="4" t="s">
        <v>554</v>
      </c>
      <c r="D45" s="4" t="s">
        <v>851</v>
      </c>
      <c r="E45" s="4" t="s">
        <v>1369</v>
      </c>
      <c r="F45" s="4">
        <v>1</v>
      </c>
    </row>
    <row r="46" spans="1:6" x14ac:dyDescent="0.25">
      <c r="A46" s="4" t="s">
        <v>512</v>
      </c>
      <c r="B46" s="4" t="s">
        <v>852</v>
      </c>
      <c r="C46" s="4" t="s">
        <v>511</v>
      </c>
      <c r="D46" s="4" t="s">
        <v>853</v>
      </c>
      <c r="E46" s="4" t="s">
        <v>1369</v>
      </c>
      <c r="F46" s="4">
        <v>1</v>
      </c>
    </row>
    <row r="47" spans="1:6" x14ac:dyDescent="0.25">
      <c r="A47" s="4" t="s">
        <v>343</v>
      </c>
      <c r="B47" s="4" t="s">
        <v>341</v>
      </c>
      <c r="C47" s="4" t="s">
        <v>342</v>
      </c>
      <c r="D47" s="4" t="s">
        <v>854</v>
      </c>
      <c r="E47" s="4" t="s">
        <v>1369</v>
      </c>
      <c r="F47" s="4">
        <v>1</v>
      </c>
    </row>
    <row r="48" spans="1:6" x14ac:dyDescent="0.25">
      <c r="A48" s="4" t="s">
        <v>474</v>
      </c>
      <c r="B48" s="4" t="s">
        <v>472</v>
      </c>
      <c r="C48" s="4" t="s">
        <v>473</v>
      </c>
      <c r="D48" s="4" t="s">
        <v>855</v>
      </c>
      <c r="E48" s="4" t="s">
        <v>1369</v>
      </c>
      <c r="F48" s="4">
        <v>1</v>
      </c>
    </row>
    <row r="49" spans="1:6" x14ac:dyDescent="0.25">
      <c r="A49" s="4" t="s">
        <v>652</v>
      </c>
      <c r="B49" s="4" t="s">
        <v>650</v>
      </c>
      <c r="C49" s="4" t="s">
        <v>651</v>
      </c>
      <c r="D49" s="4" t="s">
        <v>856</v>
      </c>
      <c r="E49" s="4" t="s">
        <v>1369</v>
      </c>
      <c r="F49" s="4">
        <v>1</v>
      </c>
    </row>
    <row r="50" spans="1:6" x14ac:dyDescent="0.25">
      <c r="A50" s="4" t="s">
        <v>649</v>
      </c>
      <c r="B50" s="4" t="s">
        <v>647</v>
      </c>
      <c r="C50" s="4" t="s">
        <v>648</v>
      </c>
      <c r="D50" s="4" t="s">
        <v>856</v>
      </c>
      <c r="E50" s="4" t="s">
        <v>1369</v>
      </c>
      <c r="F50" s="4">
        <v>1</v>
      </c>
    </row>
    <row r="51" spans="1:6" x14ac:dyDescent="0.25">
      <c r="A51" s="4" t="s">
        <v>646</v>
      </c>
      <c r="B51" s="4" t="s">
        <v>644</v>
      </c>
      <c r="C51" s="4" t="s">
        <v>645</v>
      </c>
      <c r="D51" s="4" t="s">
        <v>856</v>
      </c>
      <c r="E51" s="4" t="s">
        <v>1369</v>
      </c>
      <c r="F51" s="4">
        <v>1</v>
      </c>
    </row>
    <row r="52" spans="1:6" x14ac:dyDescent="0.25">
      <c r="A52" s="4" t="s">
        <v>517</v>
      </c>
      <c r="B52" s="4" t="s">
        <v>515</v>
      </c>
      <c r="C52" s="4" t="s">
        <v>516</v>
      </c>
      <c r="D52" s="4" t="s">
        <v>858</v>
      </c>
      <c r="E52" s="4" t="s">
        <v>1369</v>
      </c>
      <c r="F52" s="4">
        <v>3</v>
      </c>
    </row>
    <row r="53" spans="1:6" x14ac:dyDescent="0.25">
      <c r="A53" s="4" t="s">
        <v>520</v>
      </c>
      <c r="B53" s="4" t="s">
        <v>518</v>
      </c>
      <c r="C53" s="4" t="s">
        <v>519</v>
      </c>
      <c r="D53" s="4" t="s">
        <v>858</v>
      </c>
      <c r="E53" s="4" t="s">
        <v>1369</v>
      </c>
      <c r="F53" s="4">
        <v>1</v>
      </c>
    </row>
    <row r="54" spans="1:6" x14ac:dyDescent="0.25">
      <c r="A54" s="4" t="s">
        <v>661</v>
      </c>
      <c r="B54" s="4" t="s">
        <v>659</v>
      </c>
      <c r="C54" s="4" t="s">
        <v>660</v>
      </c>
      <c r="D54" s="4" t="s">
        <v>859</v>
      </c>
      <c r="E54" s="4" t="s">
        <v>1369</v>
      </c>
      <c r="F54" s="4">
        <v>1</v>
      </c>
    </row>
    <row r="55" spans="1:6" x14ac:dyDescent="0.25">
      <c r="A55" s="4" t="s">
        <v>664</v>
      </c>
      <c r="B55" s="4" t="s">
        <v>662</v>
      </c>
      <c r="C55" s="4" t="s">
        <v>663</v>
      </c>
      <c r="D55" s="4" t="s">
        <v>859</v>
      </c>
      <c r="E55" s="4" t="s">
        <v>1369</v>
      </c>
      <c r="F55" s="4">
        <v>1</v>
      </c>
    </row>
    <row r="56" spans="1:6" x14ac:dyDescent="0.25">
      <c r="A56" s="4" t="s">
        <v>549</v>
      </c>
      <c r="B56" s="4" t="s">
        <v>547</v>
      </c>
      <c r="C56" s="4" t="s">
        <v>548</v>
      </c>
      <c r="D56" s="4" t="s">
        <v>860</v>
      </c>
      <c r="E56" s="4" t="s">
        <v>1369</v>
      </c>
      <c r="F56" s="4">
        <v>1</v>
      </c>
    </row>
    <row r="57" spans="1:6" x14ac:dyDescent="0.25">
      <c r="A57" s="4" t="s">
        <v>551</v>
      </c>
      <c r="B57" s="4" t="s">
        <v>550</v>
      </c>
      <c r="C57" s="4" t="s">
        <v>754</v>
      </c>
      <c r="D57" s="4" t="s">
        <v>860</v>
      </c>
      <c r="E57" s="4" t="s">
        <v>1369</v>
      </c>
      <c r="F57" s="4">
        <v>2</v>
      </c>
    </row>
    <row r="58" spans="1:6" x14ac:dyDescent="0.25">
      <c r="A58" s="4" t="s">
        <v>195</v>
      </c>
      <c r="B58" s="4" t="s">
        <v>193</v>
      </c>
      <c r="C58" s="4" t="s">
        <v>194</v>
      </c>
      <c r="D58" s="4" t="s">
        <v>1375</v>
      </c>
      <c r="E58" s="4" t="s">
        <v>1369</v>
      </c>
      <c r="F58" s="4">
        <v>1</v>
      </c>
    </row>
    <row r="59" spans="1:6" x14ac:dyDescent="0.25">
      <c r="A59" s="4" t="s">
        <v>251</v>
      </c>
      <c r="B59" s="4" t="s">
        <v>249</v>
      </c>
      <c r="C59" s="4" t="s">
        <v>1030</v>
      </c>
      <c r="D59" s="4" t="s">
        <v>863</v>
      </c>
      <c r="E59" s="4" t="s">
        <v>1369</v>
      </c>
      <c r="F59" s="4">
        <v>1</v>
      </c>
    </row>
    <row r="60" spans="1:6" x14ac:dyDescent="0.25">
      <c r="A60" s="4" t="s">
        <v>30</v>
      </c>
      <c r="B60" s="4" t="s">
        <v>28</v>
      </c>
      <c r="C60" s="4" t="s">
        <v>29</v>
      </c>
      <c r="D60" s="4" t="s">
        <v>1376</v>
      </c>
      <c r="E60" s="4" t="s">
        <v>1369</v>
      </c>
      <c r="F60" s="4">
        <v>1</v>
      </c>
    </row>
    <row r="61" spans="1:6" x14ac:dyDescent="0.25">
      <c r="A61" s="4" t="s">
        <v>120</v>
      </c>
      <c r="B61" s="4" t="s">
        <v>118</v>
      </c>
      <c r="C61" s="4" t="s">
        <v>119</v>
      </c>
      <c r="D61" s="4" t="s">
        <v>1377</v>
      </c>
      <c r="E61" s="4" t="s">
        <v>1369</v>
      </c>
      <c r="F61" s="4">
        <v>1</v>
      </c>
    </row>
    <row r="62" spans="1:6" x14ac:dyDescent="0.25">
      <c r="A62" s="4" t="s">
        <v>73</v>
      </c>
      <c r="B62" s="4" t="s">
        <v>71</v>
      </c>
      <c r="C62" s="4" t="s">
        <v>72</v>
      </c>
      <c r="D62" s="4" t="s">
        <v>1378</v>
      </c>
      <c r="E62" s="4" t="s">
        <v>1369</v>
      </c>
      <c r="F62" s="4">
        <v>1</v>
      </c>
    </row>
    <row r="63" spans="1:6" x14ac:dyDescent="0.25">
      <c r="A63" s="4" t="s">
        <v>179</v>
      </c>
      <c r="B63" s="4" t="s">
        <v>177</v>
      </c>
      <c r="C63" s="4" t="s">
        <v>178</v>
      </c>
      <c r="D63" s="4" t="s">
        <v>1379</v>
      </c>
      <c r="E63" s="4" t="s">
        <v>1369</v>
      </c>
      <c r="F63" s="4">
        <v>1</v>
      </c>
    </row>
    <row r="64" spans="1:6" x14ac:dyDescent="0.25">
      <c r="A64" s="4" t="s">
        <v>85</v>
      </c>
      <c r="B64" s="4" t="s">
        <v>83</v>
      </c>
      <c r="C64" s="4" t="s">
        <v>84</v>
      </c>
      <c r="D64" s="4" t="s">
        <v>1380</v>
      </c>
      <c r="E64" s="4" t="s">
        <v>1369</v>
      </c>
      <c r="F64" s="4">
        <v>1</v>
      </c>
    </row>
    <row r="65" spans="1:6" x14ac:dyDescent="0.25">
      <c r="A65" s="4" t="s">
        <v>135</v>
      </c>
      <c r="B65" s="4" t="s">
        <v>133</v>
      </c>
      <c r="C65" s="4" t="s">
        <v>134</v>
      </c>
      <c r="D65" s="4" t="s">
        <v>1381</v>
      </c>
      <c r="E65" s="4" t="s">
        <v>1369</v>
      </c>
      <c r="F65" s="4">
        <v>1</v>
      </c>
    </row>
    <row r="66" spans="1:6" x14ac:dyDescent="0.25">
      <c r="A66" s="4" t="s">
        <v>138</v>
      </c>
      <c r="B66" s="4" t="s">
        <v>136</v>
      </c>
      <c r="C66" s="4" t="s">
        <v>137</v>
      </c>
      <c r="D66" s="4" t="s">
        <v>1382</v>
      </c>
      <c r="E66" s="4" t="s">
        <v>1369</v>
      </c>
      <c r="F66" s="4">
        <v>1</v>
      </c>
    </row>
    <row r="67" spans="1:6" x14ac:dyDescent="0.25">
      <c r="A67" s="4" t="s">
        <v>132</v>
      </c>
      <c r="B67" s="4" t="s">
        <v>130</v>
      </c>
      <c r="C67" s="4" t="s">
        <v>131</v>
      </c>
      <c r="D67" s="4" t="s">
        <v>1381</v>
      </c>
      <c r="E67" s="4" t="s">
        <v>1369</v>
      </c>
      <c r="F67" s="4">
        <v>2</v>
      </c>
    </row>
    <row r="68" spans="1:6" x14ac:dyDescent="0.25">
      <c r="A68" s="4" t="s">
        <v>141</v>
      </c>
      <c r="B68" s="4" t="s">
        <v>139</v>
      </c>
      <c r="C68" s="4" t="s">
        <v>140</v>
      </c>
      <c r="D68" s="4" t="s">
        <v>1383</v>
      </c>
      <c r="E68" s="4" t="s">
        <v>1369</v>
      </c>
      <c r="F68" s="4">
        <v>3</v>
      </c>
    </row>
    <row r="69" spans="1:6" x14ac:dyDescent="0.25">
      <c r="A69" s="4" t="s">
        <v>42</v>
      </c>
      <c r="B69" s="4" t="s">
        <v>40</v>
      </c>
      <c r="C69" s="4" t="s">
        <v>41</v>
      </c>
      <c r="D69" s="4" t="s">
        <v>1384</v>
      </c>
      <c r="E69" s="4" t="s">
        <v>1369</v>
      </c>
      <c r="F69" s="4">
        <v>1</v>
      </c>
    </row>
    <row r="70" spans="1:6" x14ac:dyDescent="0.25">
      <c r="A70" s="4" t="s">
        <v>45</v>
      </c>
      <c r="B70" s="4" t="s">
        <v>43</v>
      </c>
      <c r="C70" s="4" t="s">
        <v>44</v>
      </c>
      <c r="D70" s="4" t="s">
        <v>1384</v>
      </c>
      <c r="E70" s="4" t="s">
        <v>1369</v>
      </c>
      <c r="F70" s="4">
        <v>2</v>
      </c>
    </row>
    <row r="71" spans="1:6" x14ac:dyDescent="0.25">
      <c r="A71" s="4" t="s">
        <v>48</v>
      </c>
      <c r="B71" s="4" t="s">
        <v>46</v>
      </c>
      <c r="C71" s="4" t="s">
        <v>47</v>
      </c>
      <c r="D71" s="4" t="s">
        <v>1384</v>
      </c>
      <c r="E71" s="4" t="s">
        <v>1369</v>
      </c>
      <c r="F71" s="4">
        <v>3</v>
      </c>
    </row>
    <row r="72" spans="1:6" x14ac:dyDescent="0.25">
      <c r="A72" s="4" t="s">
        <v>33</v>
      </c>
      <c r="B72" s="4" t="s">
        <v>31</v>
      </c>
      <c r="C72" s="4" t="s">
        <v>32</v>
      </c>
      <c r="D72" s="4" t="s">
        <v>1385</v>
      </c>
      <c r="E72" s="4" t="s">
        <v>1369</v>
      </c>
      <c r="F72" s="4">
        <v>2</v>
      </c>
    </row>
    <row r="73" spans="1:6" x14ac:dyDescent="0.25">
      <c r="A73" s="4" t="s">
        <v>36</v>
      </c>
      <c r="B73" s="4" t="s">
        <v>34</v>
      </c>
      <c r="C73" s="4" t="s">
        <v>35</v>
      </c>
      <c r="D73" s="4" t="s">
        <v>1385</v>
      </c>
      <c r="E73" s="4" t="s">
        <v>1369</v>
      </c>
      <c r="F73" s="4">
        <v>1</v>
      </c>
    </row>
    <row r="74" spans="1:6" x14ac:dyDescent="0.25">
      <c r="A74" s="4" t="s">
        <v>170</v>
      </c>
      <c r="B74" s="4" t="s">
        <v>168</v>
      </c>
      <c r="C74" s="4" t="s">
        <v>169</v>
      </c>
      <c r="D74" s="4" t="s">
        <v>1386</v>
      </c>
      <c r="E74" s="4" t="s">
        <v>1369</v>
      </c>
      <c r="F74" s="4">
        <v>1</v>
      </c>
    </row>
    <row r="75" spans="1:6" x14ac:dyDescent="0.25">
      <c r="A75" s="4" t="s">
        <v>101</v>
      </c>
      <c r="B75" s="4" t="s">
        <v>99</v>
      </c>
      <c r="C75" s="4" t="s">
        <v>100</v>
      </c>
      <c r="D75" s="4" t="s">
        <v>1387</v>
      </c>
      <c r="E75" s="4" t="s">
        <v>1369</v>
      </c>
      <c r="F75" s="4">
        <v>1</v>
      </c>
    </row>
    <row r="76" spans="1:6" x14ac:dyDescent="0.25">
      <c r="A76" s="4" t="s">
        <v>600</v>
      </c>
      <c r="B76" s="4" t="s">
        <v>598</v>
      </c>
      <c r="C76" s="4" t="s">
        <v>599</v>
      </c>
      <c r="D76" s="4" t="s">
        <v>880</v>
      </c>
      <c r="E76" s="4" t="s">
        <v>1369</v>
      </c>
      <c r="F76" s="4">
        <v>2</v>
      </c>
    </row>
    <row r="77" spans="1:6" x14ac:dyDescent="0.25">
      <c r="A77" s="4" t="s">
        <v>597</v>
      </c>
      <c r="B77" s="4" t="s">
        <v>595</v>
      </c>
      <c r="C77" s="4" t="s">
        <v>596</v>
      </c>
      <c r="D77" s="4" t="s">
        <v>880</v>
      </c>
      <c r="E77" s="4" t="s">
        <v>1369</v>
      </c>
      <c r="F77" s="4">
        <v>1</v>
      </c>
    </row>
    <row r="78" spans="1:6" x14ac:dyDescent="0.25">
      <c r="A78" s="4" t="s">
        <v>128</v>
      </c>
      <c r="B78" s="4" t="s">
        <v>126</v>
      </c>
      <c r="C78" s="4" t="s">
        <v>1043</v>
      </c>
      <c r="D78" s="4" t="s">
        <v>1388</v>
      </c>
      <c r="E78" s="4" t="s">
        <v>1369</v>
      </c>
      <c r="F78" s="4">
        <v>2</v>
      </c>
    </row>
    <row r="79" spans="1:6" x14ac:dyDescent="0.25">
      <c r="A79" s="4" t="s">
        <v>124</v>
      </c>
      <c r="B79" s="4" t="s">
        <v>122</v>
      </c>
      <c r="C79" s="4" t="s">
        <v>123</v>
      </c>
      <c r="D79" s="4" t="s">
        <v>1388</v>
      </c>
      <c r="E79" s="4" t="s">
        <v>1369</v>
      </c>
      <c r="F79" s="4">
        <v>1</v>
      </c>
    </row>
    <row r="80" spans="1:6" x14ac:dyDescent="0.25">
      <c r="A80" s="4" t="s">
        <v>152</v>
      </c>
      <c r="B80" s="4" t="s">
        <v>150</v>
      </c>
      <c r="C80" s="4" t="s">
        <v>151</v>
      </c>
      <c r="D80" s="4" t="s">
        <v>1389</v>
      </c>
      <c r="E80" s="4" t="s">
        <v>1369</v>
      </c>
      <c r="F80" s="4">
        <v>2</v>
      </c>
    </row>
    <row r="81" spans="1:6" x14ac:dyDescent="0.25">
      <c r="A81" s="4" t="s">
        <v>155</v>
      </c>
      <c r="B81" s="4" t="s">
        <v>153</v>
      </c>
      <c r="C81" s="4" t="s">
        <v>154</v>
      </c>
      <c r="D81" s="4" t="s">
        <v>1389</v>
      </c>
      <c r="E81" s="4" t="s">
        <v>1369</v>
      </c>
      <c r="F81" s="4">
        <v>1</v>
      </c>
    </row>
    <row r="82" spans="1:6" x14ac:dyDescent="0.25">
      <c r="A82" s="4" t="s">
        <v>55</v>
      </c>
      <c r="B82" s="4" t="s">
        <v>53</v>
      </c>
      <c r="C82" s="4" t="s">
        <v>54</v>
      </c>
      <c r="D82" s="4" t="s">
        <v>1390</v>
      </c>
      <c r="E82" s="4" t="s">
        <v>1369</v>
      </c>
      <c r="F82" s="4">
        <v>1</v>
      </c>
    </row>
    <row r="83" spans="1:6" x14ac:dyDescent="0.25">
      <c r="A83" s="4" t="s">
        <v>52</v>
      </c>
      <c r="B83" s="4" t="s">
        <v>50</v>
      </c>
      <c r="C83" s="4" t="s">
        <v>1047</v>
      </c>
      <c r="D83" s="4" t="s">
        <v>1390</v>
      </c>
      <c r="E83" s="4" t="s">
        <v>1369</v>
      </c>
      <c r="F83" s="4">
        <v>2</v>
      </c>
    </row>
    <row r="84" spans="1:6" x14ac:dyDescent="0.25">
      <c r="A84" s="4" t="s">
        <v>224</v>
      </c>
      <c r="B84" s="4" t="s">
        <v>222</v>
      </c>
      <c r="C84" s="4" t="s">
        <v>223</v>
      </c>
      <c r="D84" s="4" t="s">
        <v>884</v>
      </c>
      <c r="E84" s="4" t="s">
        <v>1369</v>
      </c>
      <c r="F84" s="4">
        <v>1</v>
      </c>
    </row>
    <row r="85" spans="1:6" x14ac:dyDescent="0.25">
      <c r="A85" s="4" t="s">
        <v>247</v>
      </c>
      <c r="B85" s="4" t="s">
        <v>246</v>
      </c>
      <c r="C85" s="4" t="s">
        <v>751</v>
      </c>
      <c r="D85" s="4" t="s">
        <v>1391</v>
      </c>
      <c r="E85" s="4" t="s">
        <v>1369</v>
      </c>
      <c r="F85" s="4">
        <v>1</v>
      </c>
    </row>
    <row r="86" spans="1:6" x14ac:dyDescent="0.25">
      <c r="A86" s="4" t="s">
        <v>94</v>
      </c>
      <c r="B86" s="4" t="s">
        <v>92</v>
      </c>
      <c r="C86" s="4" t="s">
        <v>93</v>
      </c>
      <c r="D86" s="4" t="s">
        <v>1392</v>
      </c>
      <c r="E86" s="4" t="s">
        <v>1369</v>
      </c>
      <c r="F86" s="4">
        <v>3</v>
      </c>
    </row>
    <row r="87" spans="1:6" x14ac:dyDescent="0.25">
      <c r="A87" s="4" t="s">
        <v>88</v>
      </c>
      <c r="B87" s="4" t="s">
        <v>86</v>
      </c>
      <c r="C87" s="4" t="s">
        <v>87</v>
      </c>
      <c r="D87" s="4" t="s">
        <v>1392</v>
      </c>
      <c r="E87" s="4" t="s">
        <v>1369</v>
      </c>
      <c r="F87" s="4">
        <v>1</v>
      </c>
    </row>
    <row r="88" spans="1:6" x14ac:dyDescent="0.25">
      <c r="A88" s="4" t="s">
        <v>91</v>
      </c>
      <c r="B88" s="4" t="s">
        <v>89</v>
      </c>
      <c r="C88" s="4" t="s">
        <v>90</v>
      </c>
      <c r="D88" s="4" t="s">
        <v>1392</v>
      </c>
      <c r="E88" s="4" t="s">
        <v>1369</v>
      </c>
      <c r="F88" s="4">
        <v>2</v>
      </c>
    </row>
    <row r="89" spans="1:6" x14ac:dyDescent="0.25">
      <c r="A89" s="4" t="s">
        <v>167</v>
      </c>
      <c r="B89" s="4" t="s">
        <v>165</v>
      </c>
      <c r="C89" s="4" t="s">
        <v>166</v>
      </c>
      <c r="D89" s="4" t="s">
        <v>1393</v>
      </c>
      <c r="E89" s="4" t="s">
        <v>1369</v>
      </c>
      <c r="F89" s="4">
        <v>1</v>
      </c>
    </row>
    <row r="90" spans="1:6" x14ac:dyDescent="0.25">
      <c r="A90" s="4" t="s">
        <v>64</v>
      </c>
      <c r="B90" s="4" t="s">
        <v>62</v>
      </c>
      <c r="C90" s="4" t="s">
        <v>1132</v>
      </c>
      <c r="D90" s="4" t="s">
        <v>1394</v>
      </c>
      <c r="E90" s="4" t="s">
        <v>1369</v>
      </c>
      <c r="F90" s="4">
        <v>1</v>
      </c>
    </row>
    <row r="91" spans="1:6" x14ac:dyDescent="0.25">
      <c r="A91" s="4" t="s">
        <v>105</v>
      </c>
      <c r="B91" s="4" t="s">
        <v>103</v>
      </c>
      <c r="C91" s="4" t="s">
        <v>104</v>
      </c>
      <c r="D91" s="4" t="s">
        <v>1395</v>
      </c>
      <c r="E91" s="4" t="s">
        <v>1369</v>
      </c>
      <c r="F91" s="4">
        <v>3</v>
      </c>
    </row>
    <row r="92" spans="1:6" x14ac:dyDescent="0.25">
      <c r="A92" s="4" t="s">
        <v>144</v>
      </c>
      <c r="B92" s="4" t="s">
        <v>143</v>
      </c>
      <c r="C92" s="4" t="s">
        <v>733</v>
      </c>
      <c r="D92" s="4" t="s">
        <v>1396</v>
      </c>
      <c r="E92" s="4" t="s">
        <v>1369</v>
      </c>
      <c r="F92" s="4">
        <v>1</v>
      </c>
    </row>
    <row r="93" spans="1:6" x14ac:dyDescent="0.25">
      <c r="A93" s="4" t="s">
        <v>217</v>
      </c>
      <c r="B93" s="4" t="s">
        <v>215</v>
      </c>
      <c r="C93" s="4" t="s">
        <v>1054</v>
      </c>
      <c r="D93" s="4" t="s">
        <v>893</v>
      </c>
      <c r="E93" s="4" t="s">
        <v>1369</v>
      </c>
      <c r="F93" s="4">
        <v>2</v>
      </c>
    </row>
    <row r="94" spans="1:6" x14ac:dyDescent="0.25">
      <c r="A94" s="4" t="s">
        <v>220</v>
      </c>
      <c r="B94" s="4" t="s">
        <v>218</v>
      </c>
      <c r="C94" s="4" t="s">
        <v>219</v>
      </c>
      <c r="D94" s="4" t="s">
        <v>893</v>
      </c>
      <c r="E94" s="4" t="s">
        <v>1369</v>
      </c>
      <c r="F94" s="4">
        <v>1</v>
      </c>
    </row>
    <row r="95" spans="1:6" x14ac:dyDescent="0.25">
      <c r="A95" s="4" t="s">
        <v>506</v>
      </c>
      <c r="B95" s="4" t="s">
        <v>504</v>
      </c>
      <c r="C95" s="4" t="s">
        <v>505</v>
      </c>
      <c r="D95" s="4" t="s">
        <v>894</v>
      </c>
      <c r="E95" s="4" t="s">
        <v>1369</v>
      </c>
      <c r="F95" s="4">
        <v>2</v>
      </c>
    </row>
    <row r="96" spans="1:6" x14ac:dyDescent="0.25">
      <c r="A96" s="4" t="s">
        <v>525</v>
      </c>
      <c r="B96" s="4" t="s">
        <v>523</v>
      </c>
      <c r="C96" s="4" t="s">
        <v>524</v>
      </c>
      <c r="D96" s="4" t="s">
        <v>895</v>
      </c>
      <c r="E96" s="4" t="s">
        <v>1369</v>
      </c>
      <c r="F96" s="4">
        <v>1</v>
      </c>
    </row>
    <row r="97" spans="1:6" x14ac:dyDescent="0.25">
      <c r="A97" s="4" t="s">
        <v>385</v>
      </c>
      <c r="B97" s="4" t="s">
        <v>383</v>
      </c>
      <c r="C97" s="4" t="s">
        <v>384</v>
      </c>
      <c r="D97" s="4" t="s">
        <v>896</v>
      </c>
      <c r="E97" s="4" t="s">
        <v>1369</v>
      </c>
      <c r="F97" s="4">
        <v>1</v>
      </c>
    </row>
    <row r="98" spans="1:6" x14ac:dyDescent="0.25">
      <c r="A98" s="4" t="s">
        <v>446</v>
      </c>
      <c r="B98" s="4" t="s">
        <v>444</v>
      </c>
      <c r="C98" s="4" t="s">
        <v>445</v>
      </c>
      <c r="D98" s="4" t="s">
        <v>897</v>
      </c>
      <c r="E98" s="4" t="s">
        <v>1369</v>
      </c>
      <c r="F98" s="4">
        <v>1</v>
      </c>
    </row>
    <row r="99" spans="1:6" x14ac:dyDescent="0.25">
      <c r="A99" s="4" t="s">
        <v>580</v>
      </c>
      <c r="B99" s="4" t="s">
        <v>578</v>
      </c>
      <c r="C99" s="4" t="s">
        <v>579</v>
      </c>
      <c r="D99" s="4" t="s">
        <v>899</v>
      </c>
      <c r="E99" s="4" t="s">
        <v>1369</v>
      </c>
      <c r="F99" s="4">
        <v>1</v>
      </c>
    </row>
    <row r="100" spans="1:6" x14ac:dyDescent="0.25">
      <c r="A100" s="4" t="s">
        <v>276</v>
      </c>
      <c r="B100" s="4" t="s">
        <v>274</v>
      </c>
      <c r="C100" s="4" t="s">
        <v>275</v>
      </c>
      <c r="D100" s="4" t="s">
        <v>900</v>
      </c>
      <c r="E100" s="4" t="s">
        <v>1369</v>
      </c>
      <c r="F100" s="4">
        <v>1</v>
      </c>
    </row>
    <row r="101" spans="1:6" x14ac:dyDescent="0.25">
      <c r="A101" s="4" t="s">
        <v>573</v>
      </c>
      <c r="B101" s="4" t="s">
        <v>571</v>
      </c>
      <c r="C101" s="4" t="s">
        <v>572</v>
      </c>
      <c r="D101" s="4" t="s">
        <v>901</v>
      </c>
      <c r="E101" s="4" t="s">
        <v>1369</v>
      </c>
      <c r="F101" s="4">
        <v>1</v>
      </c>
    </row>
    <row r="102" spans="1:6" x14ac:dyDescent="0.25">
      <c r="A102" s="4" t="s">
        <v>347</v>
      </c>
      <c r="B102" s="4" t="s">
        <v>345</v>
      </c>
      <c r="C102" s="4" t="s">
        <v>346</v>
      </c>
      <c r="D102" s="4" t="s">
        <v>902</v>
      </c>
      <c r="E102" s="4" t="s">
        <v>1369</v>
      </c>
      <c r="F102" s="4">
        <v>1</v>
      </c>
    </row>
    <row r="103" spans="1:6" x14ac:dyDescent="0.25">
      <c r="A103" s="4" t="s">
        <v>9</v>
      </c>
      <c r="B103" s="4" t="s">
        <v>7</v>
      </c>
      <c r="C103" s="4" t="s">
        <v>8</v>
      </c>
      <c r="D103" s="4" t="s">
        <v>1397</v>
      </c>
      <c r="E103" s="4" t="s">
        <v>1369</v>
      </c>
      <c r="F103" s="4">
        <v>1</v>
      </c>
    </row>
    <row r="104" spans="1:6" x14ac:dyDescent="0.25">
      <c r="A104" s="4" t="s">
        <v>76</v>
      </c>
      <c r="B104" s="4" t="s">
        <v>74</v>
      </c>
      <c r="C104" s="4" t="s">
        <v>75</v>
      </c>
      <c r="D104" s="4" t="s">
        <v>1398</v>
      </c>
      <c r="E104" s="4" t="s">
        <v>1369</v>
      </c>
      <c r="F104" s="4">
        <v>1</v>
      </c>
    </row>
    <row r="105" spans="1:6" x14ac:dyDescent="0.25">
      <c r="A105" s="4" t="s">
        <v>635</v>
      </c>
      <c r="B105" s="4" t="s">
        <v>633</v>
      </c>
      <c r="C105" s="4" t="s">
        <v>634</v>
      </c>
      <c r="D105" s="4" t="s">
        <v>905</v>
      </c>
      <c r="E105" s="4" t="s">
        <v>1369</v>
      </c>
      <c r="F105" s="4">
        <v>1</v>
      </c>
    </row>
    <row r="106" spans="1:6" x14ac:dyDescent="0.25">
      <c r="A106" s="4" t="s">
        <v>491</v>
      </c>
      <c r="B106" s="4" t="s">
        <v>489</v>
      </c>
      <c r="C106" s="4" t="s">
        <v>490</v>
      </c>
      <c r="D106" s="4" t="s">
        <v>906</v>
      </c>
      <c r="E106" s="4" t="s">
        <v>1369</v>
      </c>
      <c r="F106" s="4">
        <v>1</v>
      </c>
    </row>
    <row r="107" spans="1:6" x14ac:dyDescent="0.25">
      <c r="A107" s="4" t="s">
        <v>199</v>
      </c>
      <c r="B107" s="4" t="s">
        <v>198</v>
      </c>
      <c r="C107" s="4" t="s">
        <v>907</v>
      </c>
      <c r="D107" s="4" t="s">
        <v>1399</v>
      </c>
      <c r="E107" s="4" t="s">
        <v>1369</v>
      </c>
      <c r="F107" s="4">
        <v>1</v>
      </c>
    </row>
    <row r="108" spans="1:6" x14ac:dyDescent="0.25">
      <c r="A108" s="4" t="s">
        <v>294</v>
      </c>
      <c r="B108" s="4" t="s">
        <v>292</v>
      </c>
      <c r="C108" s="4" t="s">
        <v>293</v>
      </c>
      <c r="D108" s="4" t="s">
        <v>909</v>
      </c>
      <c r="E108" s="4" t="s">
        <v>1369</v>
      </c>
      <c r="F108" s="4">
        <v>1</v>
      </c>
    </row>
    <row r="109" spans="1:6" x14ac:dyDescent="0.25">
      <c r="A109" s="4" t="s">
        <v>910</v>
      </c>
      <c r="B109" s="4" t="s">
        <v>321</v>
      </c>
      <c r="C109" s="4" t="s">
        <v>322</v>
      </c>
      <c r="D109" s="4" t="s">
        <v>911</v>
      </c>
      <c r="E109" s="4" t="s">
        <v>1369</v>
      </c>
      <c r="F109" s="4">
        <v>1</v>
      </c>
    </row>
    <row r="110" spans="1:6" x14ac:dyDescent="0.25">
      <c r="A110" s="4" t="s">
        <v>1126</v>
      </c>
      <c r="B110" s="4" t="s">
        <v>19</v>
      </c>
      <c r="C110" s="4" t="s">
        <v>20</v>
      </c>
      <c r="D110" s="4" t="s">
        <v>1400</v>
      </c>
      <c r="E110" s="4" t="s">
        <v>1369</v>
      </c>
      <c r="F110" s="4">
        <v>1</v>
      </c>
    </row>
    <row r="111" spans="1:6" x14ac:dyDescent="0.25">
      <c r="A111" s="4" t="s">
        <v>24</v>
      </c>
      <c r="B111" s="4" t="s">
        <v>22</v>
      </c>
      <c r="C111" s="4" t="s">
        <v>23</v>
      </c>
      <c r="D111" s="4" t="s">
        <v>1401</v>
      </c>
      <c r="E111" s="4" t="s">
        <v>1369</v>
      </c>
      <c r="F111" s="4">
        <v>2</v>
      </c>
    </row>
    <row r="112" spans="1:6" x14ac:dyDescent="0.25">
      <c r="A112" s="4" t="s">
        <v>26</v>
      </c>
      <c r="B112" s="4" t="s">
        <v>1185</v>
      </c>
      <c r="C112" s="4" t="s">
        <v>25</v>
      </c>
      <c r="D112" s="4" t="s">
        <v>1401</v>
      </c>
      <c r="E112" s="4" t="s">
        <v>1369</v>
      </c>
      <c r="F112" s="4">
        <v>1</v>
      </c>
    </row>
    <row r="113" spans="1:6" x14ac:dyDescent="0.25">
      <c r="A113" s="4" t="s">
        <v>186</v>
      </c>
      <c r="B113" s="4" t="s">
        <v>184</v>
      </c>
      <c r="C113" s="4" t="s">
        <v>185</v>
      </c>
      <c r="D113" s="4" t="s">
        <v>1402</v>
      </c>
      <c r="E113" s="4" t="s">
        <v>1369</v>
      </c>
      <c r="F113" s="4">
        <v>1</v>
      </c>
    </row>
    <row r="114" spans="1:6" x14ac:dyDescent="0.25">
      <c r="A114" s="4" t="s">
        <v>17</v>
      </c>
      <c r="B114" s="4" t="s">
        <v>15</v>
      </c>
      <c r="C114" s="4" t="s">
        <v>16</v>
      </c>
      <c r="D114" s="4" t="s">
        <v>1403</v>
      </c>
      <c r="E114" s="4" t="s">
        <v>1369</v>
      </c>
      <c r="F114" s="4">
        <v>1</v>
      </c>
    </row>
    <row r="115" spans="1:6" x14ac:dyDescent="0.25">
      <c r="A115" s="4" t="s">
        <v>14</v>
      </c>
      <c r="B115" s="4" t="s">
        <v>12</v>
      </c>
      <c r="C115" s="4" t="s">
        <v>13</v>
      </c>
      <c r="D115" s="4" t="s">
        <v>1403</v>
      </c>
      <c r="E115" s="4" t="s">
        <v>1369</v>
      </c>
      <c r="F115" s="4">
        <v>2</v>
      </c>
    </row>
    <row r="116" spans="1:6" x14ac:dyDescent="0.25">
      <c r="A116" s="4" t="s">
        <v>190</v>
      </c>
      <c r="B116" s="4" t="s">
        <v>188</v>
      </c>
      <c r="C116" s="4" t="s">
        <v>1071</v>
      </c>
      <c r="D116" s="4" t="s">
        <v>1404</v>
      </c>
      <c r="E116" s="4" t="s">
        <v>1369</v>
      </c>
      <c r="F116" s="4">
        <v>1</v>
      </c>
    </row>
    <row r="117" spans="1:6" x14ac:dyDescent="0.25">
      <c r="A117" s="4" t="s">
        <v>69</v>
      </c>
      <c r="B117" s="4" t="s">
        <v>67</v>
      </c>
      <c r="C117" s="4" t="s">
        <v>1074</v>
      </c>
      <c r="D117" s="4" t="s">
        <v>1405</v>
      </c>
      <c r="E117" s="4" t="s">
        <v>1369</v>
      </c>
      <c r="F117" s="4">
        <v>2</v>
      </c>
    </row>
    <row r="118" spans="1:6" x14ac:dyDescent="0.25">
      <c r="A118" s="4" t="s">
        <v>312</v>
      </c>
      <c r="B118" s="4" t="s">
        <v>310</v>
      </c>
      <c r="C118" s="4" t="s">
        <v>1075</v>
      </c>
      <c r="D118" s="4" t="s">
        <v>1406</v>
      </c>
      <c r="E118" s="4" t="s">
        <v>1369</v>
      </c>
      <c r="F118" s="4">
        <v>1</v>
      </c>
    </row>
    <row r="119" spans="1:6" x14ac:dyDescent="0.25">
      <c r="A119" s="4" t="s">
        <v>309</v>
      </c>
      <c r="B119" s="4" t="s">
        <v>307</v>
      </c>
      <c r="C119" s="4" t="s">
        <v>1077</v>
      </c>
      <c r="D119" s="4" t="s">
        <v>1406</v>
      </c>
      <c r="E119" s="4" t="s">
        <v>1369</v>
      </c>
      <c r="F119" s="4">
        <v>2</v>
      </c>
    </row>
    <row r="120" spans="1:6" x14ac:dyDescent="0.25">
      <c r="A120" s="4" t="s">
        <v>315</v>
      </c>
      <c r="B120" s="4" t="s">
        <v>313</v>
      </c>
      <c r="C120" s="4" t="s">
        <v>1130</v>
      </c>
      <c r="D120" s="4" t="s">
        <v>1406</v>
      </c>
      <c r="E120" s="4" t="s">
        <v>1369</v>
      </c>
      <c r="F120" s="4">
        <v>3</v>
      </c>
    </row>
    <row r="121" spans="1:6" x14ac:dyDescent="0.25">
      <c r="A121" s="4" t="s">
        <v>148</v>
      </c>
      <c r="B121" s="4" t="s">
        <v>146</v>
      </c>
      <c r="C121" s="4" t="s">
        <v>147</v>
      </c>
      <c r="D121" s="4" t="s">
        <v>1407</v>
      </c>
      <c r="E121" s="4" t="s">
        <v>1369</v>
      </c>
      <c r="F121" s="4">
        <v>1</v>
      </c>
    </row>
    <row r="122" spans="1:6" x14ac:dyDescent="0.25">
      <c r="A122" s="4" t="s">
        <v>302</v>
      </c>
      <c r="B122" s="4" t="s">
        <v>300</v>
      </c>
      <c r="C122" s="4" t="s">
        <v>301</v>
      </c>
      <c r="D122" s="4" t="s">
        <v>948</v>
      </c>
      <c r="E122" s="4" t="s">
        <v>1369</v>
      </c>
      <c r="F122" s="4">
        <v>1</v>
      </c>
    </row>
    <row r="123" spans="1:6" x14ac:dyDescent="0.25">
      <c r="A123" s="4" t="s">
        <v>949</v>
      </c>
      <c r="B123" s="4" t="s">
        <v>338</v>
      </c>
      <c r="C123" s="4" t="s">
        <v>339</v>
      </c>
      <c r="D123" s="4" t="s">
        <v>1408</v>
      </c>
      <c r="E123" s="4" t="s">
        <v>1369</v>
      </c>
      <c r="F123" s="4">
        <v>1</v>
      </c>
    </row>
    <row r="124" spans="1:6" x14ac:dyDescent="0.25">
      <c r="A124" s="4" t="s">
        <v>592</v>
      </c>
      <c r="B124" s="4" t="s">
        <v>590</v>
      </c>
      <c r="C124" s="4" t="s">
        <v>591</v>
      </c>
      <c r="D124" s="4" t="s">
        <v>954</v>
      </c>
      <c r="E124" s="4" t="s">
        <v>1369</v>
      </c>
      <c r="F124" s="4">
        <v>1</v>
      </c>
    </row>
    <row r="125" spans="1:6" x14ac:dyDescent="0.25">
      <c r="A125" s="4" t="s">
        <v>538</v>
      </c>
      <c r="B125" s="4" t="s">
        <v>536</v>
      </c>
      <c r="C125" s="4" t="s">
        <v>537</v>
      </c>
      <c r="D125" s="4" t="s">
        <v>1409</v>
      </c>
      <c r="E125" s="4" t="s">
        <v>1369</v>
      </c>
      <c r="F125" s="4">
        <v>1</v>
      </c>
    </row>
    <row r="126" spans="1:6" x14ac:dyDescent="0.25">
      <c r="A126" s="4" t="s">
        <v>160</v>
      </c>
      <c r="B126" s="4" t="s">
        <v>158</v>
      </c>
      <c r="C126" s="4" t="s">
        <v>159</v>
      </c>
      <c r="D126" s="4" t="s">
        <v>1410</v>
      </c>
      <c r="E126" s="4" t="s">
        <v>1369</v>
      </c>
      <c r="F126" s="4">
        <v>1</v>
      </c>
    </row>
    <row r="127" spans="1:6" x14ac:dyDescent="0.25">
      <c r="A127" s="4" t="s">
        <v>39</v>
      </c>
      <c r="B127" s="4" t="s">
        <v>37</v>
      </c>
      <c r="C127" s="4" t="s">
        <v>38</v>
      </c>
      <c r="D127" s="4" t="s">
        <v>1411</v>
      </c>
      <c r="E127" s="4" t="s">
        <v>1369</v>
      </c>
      <c r="F127" s="4">
        <v>1</v>
      </c>
    </row>
    <row r="128" spans="1:6" x14ac:dyDescent="0.25">
      <c r="A128" s="4" t="s">
        <v>415</v>
      </c>
      <c r="B128" s="4" t="s">
        <v>413</v>
      </c>
      <c r="C128" s="4" t="s">
        <v>1085</v>
      </c>
      <c r="D128" s="4" t="s">
        <v>961</v>
      </c>
      <c r="E128" s="4" t="s">
        <v>1369</v>
      </c>
      <c r="F128" s="4">
        <v>1</v>
      </c>
    </row>
    <row r="129" spans="1:6" x14ac:dyDescent="0.25">
      <c r="A129" s="4" t="s">
        <v>230</v>
      </c>
      <c r="B129" s="4" t="s">
        <v>228</v>
      </c>
      <c r="C129" s="4" t="s">
        <v>229</v>
      </c>
      <c r="D129" s="4" t="s">
        <v>962</v>
      </c>
      <c r="E129" s="4" t="s">
        <v>1369</v>
      </c>
      <c r="F129" s="4">
        <v>1</v>
      </c>
    </row>
    <row r="130" spans="1:6" x14ac:dyDescent="0.25">
      <c r="A130" s="4" t="s">
        <v>265</v>
      </c>
      <c r="B130" s="4" t="s">
        <v>263</v>
      </c>
      <c r="C130" s="4" t="s">
        <v>264</v>
      </c>
      <c r="D130" s="4" t="s">
        <v>963</v>
      </c>
      <c r="E130" s="4" t="s">
        <v>1369</v>
      </c>
      <c r="F130" s="4">
        <v>1</v>
      </c>
    </row>
    <row r="131" spans="1:6" x14ac:dyDescent="0.25">
      <c r="A131" s="4" t="s">
        <v>460</v>
      </c>
      <c r="B131" s="4" t="s">
        <v>458</v>
      </c>
      <c r="C131" s="4" t="s">
        <v>459</v>
      </c>
      <c r="D131" s="4" t="s">
        <v>964</v>
      </c>
      <c r="E131" s="4" t="s">
        <v>1369</v>
      </c>
      <c r="F131" s="4">
        <v>1</v>
      </c>
    </row>
    <row r="132" spans="1:6" x14ac:dyDescent="0.25">
      <c r="A132" s="4" t="s">
        <v>613</v>
      </c>
      <c r="B132" s="4" t="s">
        <v>611</v>
      </c>
      <c r="C132" s="4" t="s">
        <v>612</v>
      </c>
      <c r="D132" s="4" t="s">
        <v>965</v>
      </c>
      <c r="E132" s="4" t="s">
        <v>1369</v>
      </c>
      <c r="F132" s="4">
        <v>1</v>
      </c>
    </row>
    <row r="133" spans="1:6" x14ac:dyDescent="0.25">
      <c r="A133" s="4" t="s">
        <v>610</v>
      </c>
      <c r="B133" s="4" t="s">
        <v>608</v>
      </c>
      <c r="C133" s="4" t="s">
        <v>609</v>
      </c>
      <c r="D133" s="4" t="s">
        <v>966</v>
      </c>
      <c r="E133" s="4" t="s">
        <v>1369</v>
      </c>
      <c r="F133" s="4">
        <v>1</v>
      </c>
    </row>
    <row r="134" spans="1:6" x14ac:dyDescent="0.25">
      <c r="A134" s="4" t="s">
        <v>616</v>
      </c>
      <c r="B134" s="4" t="s">
        <v>614</v>
      </c>
      <c r="C134" s="4" t="s">
        <v>615</v>
      </c>
      <c r="D134" s="4" t="s">
        <v>967</v>
      </c>
      <c r="E134" s="4" t="s">
        <v>1369</v>
      </c>
      <c r="F134" s="4">
        <v>1</v>
      </c>
    </row>
    <row r="135" spans="1:6" x14ac:dyDescent="0.25">
      <c r="A135" s="4" t="s">
        <v>626</v>
      </c>
      <c r="B135" s="4" t="s">
        <v>624</v>
      </c>
      <c r="C135" s="4" t="s">
        <v>625</v>
      </c>
      <c r="D135" s="4" t="s">
        <v>968</v>
      </c>
      <c r="E135" s="4" t="s">
        <v>1369</v>
      </c>
      <c r="F135" s="4">
        <v>1</v>
      </c>
    </row>
    <row r="136" spans="1:6" x14ac:dyDescent="0.25">
      <c r="A136" s="4" t="s">
        <v>205</v>
      </c>
      <c r="B136" s="4" t="s">
        <v>203</v>
      </c>
      <c r="C136" s="4" t="s">
        <v>204</v>
      </c>
      <c r="D136" s="4" t="s">
        <v>969</v>
      </c>
      <c r="E136" s="4" t="s">
        <v>1369</v>
      </c>
      <c r="F136" s="4">
        <v>1</v>
      </c>
    </row>
    <row r="137" spans="1:6" x14ac:dyDescent="0.25">
      <c r="A137" s="4" t="s">
        <v>320</v>
      </c>
      <c r="B137" s="4" t="s">
        <v>318</v>
      </c>
      <c r="C137" s="4" t="s">
        <v>319</v>
      </c>
      <c r="D137" s="4" t="s">
        <v>970</v>
      </c>
      <c r="E137" s="4" t="s">
        <v>1369</v>
      </c>
      <c r="F137" s="4">
        <v>1</v>
      </c>
    </row>
    <row r="138" spans="1:6" x14ac:dyDescent="0.25">
      <c r="A138" s="4" t="s">
        <v>470</v>
      </c>
      <c r="B138" s="4" t="s">
        <v>468</v>
      </c>
      <c r="C138" s="4" t="s">
        <v>469</v>
      </c>
      <c r="D138" s="4" t="s">
        <v>971</v>
      </c>
      <c r="E138" s="4" t="s">
        <v>1369</v>
      </c>
      <c r="F138" s="4">
        <v>1</v>
      </c>
    </row>
    <row r="139" spans="1:6" x14ac:dyDescent="0.25">
      <c r="A139" s="4" t="s">
        <v>255</v>
      </c>
      <c r="B139" s="4" t="s">
        <v>253</v>
      </c>
      <c r="C139" s="4" t="s">
        <v>254</v>
      </c>
      <c r="D139" s="4" t="s">
        <v>972</v>
      </c>
      <c r="E139" s="4" t="s">
        <v>1369</v>
      </c>
      <c r="F139" s="4">
        <v>1</v>
      </c>
    </row>
    <row r="140" spans="1:6" x14ac:dyDescent="0.25">
      <c r="A140" s="4" t="s">
        <v>642</v>
      </c>
      <c r="B140" s="4" t="s">
        <v>640</v>
      </c>
      <c r="C140" s="4" t="s">
        <v>1086</v>
      </c>
      <c r="D140" s="4" t="s">
        <v>973</v>
      </c>
      <c r="E140" s="4" t="s">
        <v>1369</v>
      </c>
      <c r="F140" s="4">
        <v>1</v>
      </c>
    </row>
    <row r="141" spans="1:6" x14ac:dyDescent="0.25">
      <c r="A141" s="4" t="s">
        <v>1710</v>
      </c>
      <c r="B141" s="4" t="s">
        <v>1123</v>
      </c>
      <c r="C141" s="4" t="s">
        <v>1124</v>
      </c>
      <c r="D141" s="4" t="s">
        <v>1412</v>
      </c>
      <c r="E141" s="4" t="s">
        <v>1369</v>
      </c>
      <c r="F141" s="4">
        <v>2</v>
      </c>
    </row>
    <row r="142" spans="1:6" x14ac:dyDescent="0.25">
      <c r="A142" s="4" t="s">
        <v>1711</v>
      </c>
      <c r="B142" s="4" t="s">
        <v>374</v>
      </c>
      <c r="C142" s="4" t="s">
        <v>1120</v>
      </c>
      <c r="D142" s="4" t="s">
        <v>1413</v>
      </c>
      <c r="E142" s="4" t="s">
        <v>1369</v>
      </c>
      <c r="F142" s="4">
        <v>1</v>
      </c>
    </row>
    <row r="143" spans="1:6" x14ac:dyDescent="0.25">
      <c r="A143" s="4" t="s">
        <v>1712</v>
      </c>
      <c r="B143" s="4" t="s">
        <v>1121</v>
      </c>
      <c r="C143" s="4" t="s">
        <v>1093</v>
      </c>
      <c r="D143" s="4" t="s">
        <v>1414</v>
      </c>
      <c r="E143" s="4" t="s">
        <v>1369</v>
      </c>
      <c r="F143" s="4">
        <v>2</v>
      </c>
    </row>
    <row r="144" spans="1:6" x14ac:dyDescent="0.25">
      <c r="A144" s="4" t="s">
        <v>1713</v>
      </c>
      <c r="B144" s="4" t="s">
        <v>380</v>
      </c>
      <c r="C144" s="4" t="s">
        <v>1118</v>
      </c>
      <c r="D144" s="4" t="s">
        <v>1415</v>
      </c>
      <c r="E144" s="4" t="s">
        <v>1369</v>
      </c>
      <c r="F144" s="4">
        <v>1</v>
      </c>
    </row>
    <row r="145" spans="1:6" x14ac:dyDescent="0.25">
      <c r="A145" s="4" t="s">
        <v>1714</v>
      </c>
      <c r="B145" s="4" t="s">
        <v>1115</v>
      </c>
      <c r="C145" s="4" t="s">
        <v>1116</v>
      </c>
      <c r="D145" s="4" t="s">
        <v>1681</v>
      </c>
      <c r="E145" s="4" t="s">
        <v>1369</v>
      </c>
      <c r="F145" s="4">
        <v>2</v>
      </c>
    </row>
    <row r="146" spans="1:6" x14ac:dyDescent="0.25">
      <c r="A146" s="4" t="s">
        <v>1715</v>
      </c>
      <c r="B146" s="4" t="s">
        <v>1416</v>
      </c>
      <c r="C146" s="4" t="s">
        <v>1199</v>
      </c>
      <c r="D146" s="4" t="s">
        <v>1684</v>
      </c>
      <c r="E146" s="4" t="s">
        <v>1369</v>
      </c>
      <c r="F146" s="4">
        <v>1</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54EA0-6D25-4458-BD34-75A8BFF843D5}">
  <dimension ref="A1:F146"/>
  <sheetViews>
    <sheetView topLeftCell="D1" zoomScale="80" zoomScaleNormal="80" workbookViewId="0">
      <selection activeCell="D14" sqref="D14"/>
    </sheetView>
  </sheetViews>
  <sheetFormatPr defaultRowHeight="15.75" x14ac:dyDescent="0.25"/>
  <cols>
    <col min="1" max="1" width="36.33203125" customWidth="1"/>
    <col min="2" max="2" width="61.88671875" bestFit="1" customWidth="1"/>
    <col min="3" max="3" width="177.21875" bestFit="1" customWidth="1"/>
    <col min="4" max="4" width="255.77734375" bestFit="1" customWidth="1"/>
    <col min="5" max="5" width="11.6640625" bestFit="1" customWidth="1"/>
    <col min="6" max="6" width="9.88671875" bestFit="1" customWidth="1"/>
  </cols>
  <sheetData>
    <row r="1" spans="1:6" s="4" customFormat="1" x14ac:dyDescent="0.25">
      <c r="A1" s="4" t="s">
        <v>1685</v>
      </c>
    </row>
    <row r="2" spans="1:6" x14ac:dyDescent="0.25">
      <c r="A2" s="4" t="s">
        <v>5</v>
      </c>
      <c r="B2" s="4" t="s">
        <v>3</v>
      </c>
      <c r="C2" s="4" t="s">
        <v>4</v>
      </c>
      <c r="D2" s="4" t="s">
        <v>772</v>
      </c>
      <c r="E2" s="4" t="s">
        <v>6</v>
      </c>
      <c r="F2" s="4" t="s">
        <v>2</v>
      </c>
    </row>
    <row r="3" spans="1:6" x14ac:dyDescent="0.25">
      <c r="A3" s="4" t="s">
        <v>1418</v>
      </c>
      <c r="B3" s="4" t="s">
        <v>435</v>
      </c>
      <c r="C3" s="4" t="s">
        <v>1419</v>
      </c>
      <c r="D3" s="4" t="s">
        <v>775</v>
      </c>
      <c r="E3" s="4"/>
      <c r="F3" s="4">
        <v>1</v>
      </c>
    </row>
    <row r="4" spans="1:6" x14ac:dyDescent="0.25">
      <c r="A4" s="4" t="s">
        <v>1420</v>
      </c>
      <c r="B4" s="4" t="s">
        <v>425</v>
      </c>
      <c r="C4" s="4" t="s">
        <v>1421</v>
      </c>
      <c r="D4" s="4" t="s">
        <v>776</v>
      </c>
      <c r="E4" s="4"/>
      <c r="F4" s="4">
        <v>1</v>
      </c>
    </row>
    <row r="5" spans="1:6" x14ac:dyDescent="0.25">
      <c r="A5" s="4" t="s">
        <v>1422</v>
      </c>
      <c r="B5" s="4" t="s">
        <v>112</v>
      </c>
      <c r="C5" s="4" t="s">
        <v>113</v>
      </c>
      <c r="D5" s="4" t="s">
        <v>1370</v>
      </c>
      <c r="E5" s="4"/>
      <c r="F5" s="4">
        <v>1</v>
      </c>
    </row>
    <row r="6" spans="1:6" x14ac:dyDescent="0.25">
      <c r="A6" s="4" t="s">
        <v>1423</v>
      </c>
      <c r="B6" s="4" t="s">
        <v>115</v>
      </c>
      <c r="C6" s="4" t="s">
        <v>116</v>
      </c>
      <c r="D6" s="4" t="s">
        <v>1370</v>
      </c>
      <c r="E6" s="4"/>
      <c r="F6" s="4">
        <v>2</v>
      </c>
    </row>
    <row r="7" spans="1:6" x14ac:dyDescent="0.25">
      <c r="A7" s="4" t="s">
        <v>1424</v>
      </c>
      <c r="B7" s="4" t="s">
        <v>439</v>
      </c>
      <c r="C7" s="4" t="s">
        <v>1425</v>
      </c>
      <c r="D7" s="4" t="s">
        <v>791</v>
      </c>
      <c r="E7" s="4"/>
      <c r="F7" s="4">
        <v>1</v>
      </c>
    </row>
    <row r="8" spans="1:6" x14ac:dyDescent="0.25">
      <c r="A8" s="4" t="s">
        <v>1426</v>
      </c>
      <c r="B8" s="4" t="s">
        <v>703</v>
      </c>
      <c r="C8" s="4" t="s">
        <v>793</v>
      </c>
      <c r="D8" s="4" t="s">
        <v>1427</v>
      </c>
      <c r="E8" s="4"/>
      <c r="F8" s="4">
        <v>1</v>
      </c>
    </row>
    <row r="9" spans="1:6" x14ac:dyDescent="0.25">
      <c r="A9" s="4" t="s">
        <v>1428</v>
      </c>
      <c r="B9" s="4" t="s">
        <v>257</v>
      </c>
      <c r="C9" s="4" t="s">
        <v>1429</v>
      </c>
      <c r="D9" s="4" t="s">
        <v>795</v>
      </c>
      <c r="E9" s="4"/>
      <c r="F9" s="4">
        <v>1</v>
      </c>
    </row>
    <row r="10" spans="1:6" x14ac:dyDescent="0.25">
      <c r="A10" s="4" t="s">
        <v>1430</v>
      </c>
      <c r="B10" s="4" t="s">
        <v>630</v>
      </c>
      <c r="C10" s="4" t="s">
        <v>1431</v>
      </c>
      <c r="D10" s="4" t="s">
        <v>803</v>
      </c>
      <c r="E10" s="4"/>
      <c r="F10" s="4">
        <v>2</v>
      </c>
    </row>
    <row r="11" spans="1:6" x14ac:dyDescent="0.25">
      <c r="A11" s="4" t="s">
        <v>1432</v>
      </c>
      <c r="B11" s="4" t="s">
        <v>752</v>
      </c>
      <c r="C11" s="4" t="s">
        <v>1433</v>
      </c>
      <c r="D11" s="4" t="s">
        <v>805</v>
      </c>
      <c r="E11" s="4"/>
      <c r="F11" s="4">
        <v>2</v>
      </c>
    </row>
    <row r="12" spans="1:6" x14ac:dyDescent="0.25">
      <c r="A12" s="4" t="s">
        <v>1434</v>
      </c>
      <c r="B12" s="4" t="s">
        <v>1159</v>
      </c>
      <c r="C12" s="4" t="s">
        <v>1435</v>
      </c>
      <c r="D12" s="4" t="s">
        <v>805</v>
      </c>
      <c r="E12" s="4"/>
      <c r="F12" s="4">
        <v>3</v>
      </c>
    </row>
    <row r="13" spans="1:6" x14ac:dyDescent="0.25">
      <c r="A13" s="4" t="s">
        <v>1436</v>
      </c>
      <c r="B13" s="4" t="s">
        <v>1162</v>
      </c>
      <c r="C13" s="4" t="s">
        <v>1437</v>
      </c>
      <c r="D13" s="4" t="s">
        <v>817</v>
      </c>
      <c r="E13" s="4"/>
      <c r="F13" s="4">
        <v>1</v>
      </c>
    </row>
    <row r="14" spans="1:6" x14ac:dyDescent="0.25">
      <c r="A14" s="4" t="s">
        <v>1438</v>
      </c>
      <c r="B14" s="4" t="s">
        <v>357</v>
      </c>
      <c r="C14" s="4" t="s">
        <v>1439</v>
      </c>
      <c r="D14" s="4" t="s">
        <v>1440</v>
      </c>
      <c r="E14" s="4"/>
      <c r="F14" s="4">
        <v>1</v>
      </c>
    </row>
    <row r="15" spans="1:6" x14ac:dyDescent="0.25">
      <c r="A15" s="4" t="s">
        <v>1441</v>
      </c>
      <c r="B15" s="4" t="s">
        <v>80</v>
      </c>
      <c r="C15" s="4" t="s">
        <v>81</v>
      </c>
      <c r="D15" s="4" t="s">
        <v>1371</v>
      </c>
      <c r="E15" s="4"/>
      <c r="F15" s="4">
        <v>1</v>
      </c>
    </row>
    <row r="16" spans="1:6" x14ac:dyDescent="0.25">
      <c r="A16" s="4" t="s">
        <v>1442</v>
      </c>
      <c r="B16" s="4" t="s">
        <v>77</v>
      </c>
      <c r="C16" s="4" t="s">
        <v>78</v>
      </c>
      <c r="D16" s="4" t="s">
        <v>1371</v>
      </c>
      <c r="E16" s="4"/>
      <c r="F16" s="4">
        <v>1</v>
      </c>
    </row>
    <row r="17" spans="1:6" x14ac:dyDescent="0.25">
      <c r="A17" s="4" t="s">
        <v>1443</v>
      </c>
      <c r="B17" s="4" t="s">
        <v>497</v>
      </c>
      <c r="C17" s="4" t="s">
        <v>498</v>
      </c>
      <c r="D17" s="4" t="s">
        <v>821</v>
      </c>
      <c r="E17" s="4"/>
      <c r="F17" s="4">
        <v>3</v>
      </c>
    </row>
    <row r="18" spans="1:6" x14ac:dyDescent="0.25">
      <c r="A18" s="4" t="s">
        <v>1444</v>
      </c>
      <c r="B18" s="4" t="s">
        <v>365</v>
      </c>
      <c r="C18" s="4" t="s">
        <v>1445</v>
      </c>
      <c r="D18" s="4" t="s">
        <v>827</v>
      </c>
      <c r="E18" s="4"/>
      <c r="F18" s="4">
        <v>2</v>
      </c>
    </row>
    <row r="19" spans="1:6" x14ac:dyDescent="0.25">
      <c r="A19" s="4" t="s">
        <v>1446</v>
      </c>
      <c r="B19" s="4" t="s">
        <v>362</v>
      </c>
      <c r="C19" s="4" t="s">
        <v>1447</v>
      </c>
      <c r="D19" s="4" t="s">
        <v>827</v>
      </c>
      <c r="E19" s="4"/>
      <c r="F19" s="4">
        <v>3</v>
      </c>
    </row>
    <row r="20" spans="1:6" x14ac:dyDescent="0.25">
      <c r="A20" s="4" t="s">
        <v>1448</v>
      </c>
      <c r="B20" s="4" t="s">
        <v>368</v>
      </c>
      <c r="C20" s="4" t="s">
        <v>1449</v>
      </c>
      <c r="D20" s="4" t="s">
        <v>1372</v>
      </c>
      <c r="E20" s="4"/>
      <c r="F20" s="4">
        <v>1</v>
      </c>
    </row>
    <row r="21" spans="1:6" x14ac:dyDescent="0.25">
      <c r="A21" s="4" t="s">
        <v>1450</v>
      </c>
      <c r="B21" s="4" t="s">
        <v>57</v>
      </c>
      <c r="C21" s="4" t="s">
        <v>1451</v>
      </c>
      <c r="D21" s="4" t="s">
        <v>830</v>
      </c>
      <c r="E21" s="4"/>
      <c r="F21" s="4">
        <v>1</v>
      </c>
    </row>
    <row r="22" spans="1:6" x14ac:dyDescent="0.25">
      <c r="A22" s="4" t="s">
        <v>1452</v>
      </c>
      <c r="B22" s="4" t="s">
        <v>564</v>
      </c>
      <c r="C22" s="4" t="s">
        <v>1453</v>
      </c>
      <c r="D22" s="4" t="s">
        <v>831</v>
      </c>
      <c r="E22" s="4"/>
      <c r="F22" s="4">
        <v>1</v>
      </c>
    </row>
    <row r="23" spans="1:6" x14ac:dyDescent="0.25">
      <c r="A23" s="4" t="s">
        <v>1454</v>
      </c>
      <c r="B23" s="4" t="s">
        <v>567</v>
      </c>
      <c r="C23" s="4" t="s">
        <v>1455</v>
      </c>
      <c r="D23" s="4" t="s">
        <v>831</v>
      </c>
      <c r="E23" s="4"/>
      <c r="F23" s="4">
        <v>2</v>
      </c>
    </row>
    <row r="24" spans="1:6" x14ac:dyDescent="0.25">
      <c r="A24" s="4" t="s">
        <v>1456</v>
      </c>
      <c r="B24" s="4" t="s">
        <v>349</v>
      </c>
      <c r="C24" s="4" t="s">
        <v>1457</v>
      </c>
      <c r="D24" s="4" t="s">
        <v>832</v>
      </c>
      <c r="E24" s="4"/>
      <c r="F24" s="4">
        <v>1</v>
      </c>
    </row>
    <row r="25" spans="1:6" x14ac:dyDescent="0.25">
      <c r="A25" s="4" t="s">
        <v>1458</v>
      </c>
      <c r="B25" s="4" t="s">
        <v>681</v>
      </c>
      <c r="C25" s="4" t="s">
        <v>1459</v>
      </c>
      <c r="D25" s="4" t="s">
        <v>833</v>
      </c>
      <c r="E25" s="4"/>
      <c r="F25" s="4">
        <v>1</v>
      </c>
    </row>
    <row r="26" spans="1:6" x14ac:dyDescent="0.25">
      <c r="A26" s="4" t="s">
        <v>1460</v>
      </c>
      <c r="B26" s="4" t="s">
        <v>326</v>
      </c>
      <c r="C26" s="4" t="s">
        <v>1461</v>
      </c>
      <c r="D26" s="4" t="s">
        <v>834</v>
      </c>
      <c r="E26" s="4"/>
      <c r="F26" s="4">
        <v>1</v>
      </c>
    </row>
    <row r="27" spans="1:6" x14ac:dyDescent="0.25">
      <c r="A27" s="4" t="s">
        <v>1462</v>
      </c>
      <c r="B27" s="4" t="s">
        <v>396</v>
      </c>
      <c r="C27" s="4" t="s">
        <v>1463</v>
      </c>
      <c r="D27" s="4" t="s">
        <v>835</v>
      </c>
      <c r="E27" s="4"/>
      <c r="F27" s="4">
        <v>1</v>
      </c>
    </row>
    <row r="28" spans="1:6" x14ac:dyDescent="0.25">
      <c r="A28" s="4" t="s">
        <v>1464</v>
      </c>
      <c r="B28" s="4" t="s">
        <v>402</v>
      </c>
      <c r="C28" s="4" t="s">
        <v>1465</v>
      </c>
      <c r="D28" s="4" t="s">
        <v>836</v>
      </c>
      <c r="E28" s="4"/>
      <c r="F28" s="4">
        <v>1</v>
      </c>
    </row>
    <row r="29" spans="1:6" x14ac:dyDescent="0.25">
      <c r="A29" s="4" t="s">
        <v>1466</v>
      </c>
      <c r="B29" s="4" t="s">
        <v>452</v>
      </c>
      <c r="C29" s="4" t="s">
        <v>1467</v>
      </c>
      <c r="D29" s="4" t="s">
        <v>837</v>
      </c>
      <c r="E29" s="4"/>
      <c r="F29" s="4">
        <v>1</v>
      </c>
    </row>
    <row r="30" spans="1:6" x14ac:dyDescent="0.25">
      <c r="A30" s="4" t="s">
        <v>1468</v>
      </c>
      <c r="B30" s="4" t="s">
        <v>1021</v>
      </c>
      <c r="C30" s="4" t="s">
        <v>1469</v>
      </c>
      <c r="D30" s="4" t="s">
        <v>837</v>
      </c>
      <c r="E30" s="4"/>
      <c r="F30" s="4">
        <v>2</v>
      </c>
    </row>
    <row r="31" spans="1:6" x14ac:dyDescent="0.25">
      <c r="A31" s="4" t="s">
        <v>1470</v>
      </c>
      <c r="B31" s="4" t="s">
        <v>482</v>
      </c>
      <c r="C31" s="4" t="s">
        <v>1471</v>
      </c>
      <c r="D31" s="4" t="s">
        <v>838</v>
      </c>
      <c r="E31" s="4"/>
      <c r="F31" s="4">
        <v>1</v>
      </c>
    </row>
    <row r="32" spans="1:6" x14ac:dyDescent="0.25">
      <c r="A32" s="4" t="s">
        <v>1472</v>
      </c>
      <c r="B32" s="4" t="s">
        <v>480</v>
      </c>
      <c r="C32" s="4" t="s">
        <v>1473</v>
      </c>
      <c r="D32" s="4" t="s">
        <v>838</v>
      </c>
      <c r="E32" s="4"/>
      <c r="F32" s="4">
        <v>2</v>
      </c>
    </row>
    <row r="33" spans="1:6" x14ac:dyDescent="0.25">
      <c r="A33" s="4" t="s">
        <v>1474</v>
      </c>
      <c r="B33" s="4" t="s">
        <v>231</v>
      </c>
      <c r="C33" s="4" t="s">
        <v>1475</v>
      </c>
      <c r="D33" s="4" t="s">
        <v>840</v>
      </c>
      <c r="E33" s="4"/>
      <c r="F33" s="4">
        <v>1</v>
      </c>
    </row>
    <row r="34" spans="1:6" x14ac:dyDescent="0.25">
      <c r="A34" s="4" t="s">
        <v>1476</v>
      </c>
      <c r="B34" s="4" t="s">
        <v>419</v>
      </c>
      <c r="C34" s="4" t="s">
        <v>1477</v>
      </c>
      <c r="D34" s="4" t="s">
        <v>841</v>
      </c>
      <c r="E34" s="4"/>
      <c r="F34" s="4">
        <v>1</v>
      </c>
    </row>
    <row r="35" spans="1:6" x14ac:dyDescent="0.25">
      <c r="A35" s="4" t="s">
        <v>1478</v>
      </c>
      <c r="B35" s="4" t="s">
        <v>673</v>
      </c>
      <c r="C35" s="4" t="s">
        <v>1479</v>
      </c>
      <c r="D35" s="4" t="s">
        <v>842</v>
      </c>
      <c r="E35" s="4"/>
      <c r="F35" s="4">
        <v>1</v>
      </c>
    </row>
    <row r="36" spans="1:6" x14ac:dyDescent="0.25">
      <c r="A36" s="4" t="s">
        <v>1480</v>
      </c>
      <c r="B36" s="4" t="s">
        <v>181</v>
      </c>
      <c r="C36" s="4" t="s">
        <v>1481</v>
      </c>
      <c r="D36" s="4" t="s">
        <v>1373</v>
      </c>
      <c r="E36" s="4"/>
      <c r="F36" s="4">
        <v>1</v>
      </c>
    </row>
    <row r="37" spans="1:6" x14ac:dyDescent="0.25">
      <c r="A37" s="4" t="s">
        <v>1482</v>
      </c>
      <c r="B37" s="4" t="s">
        <v>464</v>
      </c>
      <c r="C37" s="4" t="s">
        <v>1483</v>
      </c>
      <c r="D37" s="4" t="s">
        <v>844</v>
      </c>
      <c r="E37" s="4"/>
      <c r="F37" s="4">
        <v>1</v>
      </c>
    </row>
    <row r="38" spans="1:6" x14ac:dyDescent="0.25">
      <c r="A38" s="4" t="s">
        <v>1484</v>
      </c>
      <c r="B38" s="4" t="s">
        <v>407</v>
      </c>
      <c r="C38" s="4" t="s">
        <v>1485</v>
      </c>
      <c r="D38" s="4" t="s">
        <v>845</v>
      </c>
      <c r="E38" s="4"/>
      <c r="F38" s="4">
        <v>1</v>
      </c>
    </row>
    <row r="39" spans="1:6" x14ac:dyDescent="0.25">
      <c r="A39" s="4" t="s">
        <v>1486</v>
      </c>
      <c r="B39" s="4" t="s">
        <v>377</v>
      </c>
      <c r="C39" s="4" t="s">
        <v>1487</v>
      </c>
      <c r="D39" s="4" t="s">
        <v>846</v>
      </c>
      <c r="E39" s="4"/>
      <c r="F39" s="4">
        <v>1</v>
      </c>
    </row>
    <row r="40" spans="1:6" x14ac:dyDescent="0.25">
      <c r="A40" s="4" t="s">
        <v>1488</v>
      </c>
      <c r="B40" s="4" t="s">
        <v>531</v>
      </c>
      <c r="C40" s="4" t="s">
        <v>1489</v>
      </c>
      <c r="D40" s="4" t="s">
        <v>847</v>
      </c>
      <c r="E40" s="4"/>
      <c r="F40" s="4">
        <v>1</v>
      </c>
    </row>
    <row r="41" spans="1:6" x14ac:dyDescent="0.25">
      <c r="A41" s="4" t="s">
        <v>1490</v>
      </c>
      <c r="B41" s="4" t="s">
        <v>239</v>
      </c>
      <c r="C41" s="4" t="s">
        <v>1491</v>
      </c>
      <c r="D41" s="4" t="s">
        <v>1374</v>
      </c>
      <c r="E41" s="4"/>
      <c r="F41" s="4">
        <v>1</v>
      </c>
    </row>
    <row r="42" spans="1:6" x14ac:dyDescent="0.25">
      <c r="A42" s="4" t="s">
        <v>1492</v>
      </c>
      <c r="B42" s="4" t="s">
        <v>334</v>
      </c>
      <c r="C42" s="4" t="s">
        <v>1493</v>
      </c>
      <c r="D42" s="4" t="s">
        <v>849</v>
      </c>
      <c r="E42" s="4"/>
      <c r="F42" s="4">
        <v>1</v>
      </c>
    </row>
    <row r="43" spans="1:6" x14ac:dyDescent="0.25">
      <c r="A43" s="4" t="s">
        <v>1494</v>
      </c>
      <c r="B43" s="4" t="s">
        <v>654</v>
      </c>
      <c r="C43" s="4" t="s">
        <v>1495</v>
      </c>
      <c r="D43" s="4" t="s">
        <v>850</v>
      </c>
      <c r="E43" s="4"/>
      <c r="F43" s="4">
        <v>1</v>
      </c>
    </row>
    <row r="44" spans="1:6" x14ac:dyDescent="0.25">
      <c r="A44" s="4" t="s">
        <v>1496</v>
      </c>
      <c r="B44" s="4" t="s">
        <v>553</v>
      </c>
      <c r="C44" s="4" t="s">
        <v>1497</v>
      </c>
      <c r="D44" s="4" t="s">
        <v>851</v>
      </c>
      <c r="E44" s="4"/>
      <c r="F44" s="4">
        <v>1</v>
      </c>
    </row>
    <row r="45" spans="1:6" x14ac:dyDescent="0.25">
      <c r="A45" s="4" t="s">
        <v>1498</v>
      </c>
      <c r="B45" s="4" t="s">
        <v>852</v>
      </c>
      <c r="C45" s="4" t="s">
        <v>1499</v>
      </c>
      <c r="D45" s="4" t="s">
        <v>853</v>
      </c>
      <c r="E45" s="4"/>
      <c r="F45" s="4">
        <v>1</v>
      </c>
    </row>
    <row r="46" spans="1:6" x14ac:dyDescent="0.25">
      <c r="A46" s="4" t="s">
        <v>1500</v>
      </c>
      <c r="B46" s="4" t="s">
        <v>341</v>
      </c>
      <c r="C46" s="4" t="s">
        <v>1501</v>
      </c>
      <c r="D46" s="4" t="s">
        <v>854</v>
      </c>
      <c r="E46" s="4"/>
      <c r="F46" s="4">
        <v>1</v>
      </c>
    </row>
    <row r="47" spans="1:6" x14ac:dyDescent="0.25">
      <c r="A47" s="4" t="s">
        <v>1502</v>
      </c>
      <c r="B47" s="4" t="s">
        <v>472</v>
      </c>
      <c r="C47" s="4" t="s">
        <v>1503</v>
      </c>
      <c r="D47" s="4" t="s">
        <v>855</v>
      </c>
      <c r="E47" s="4"/>
      <c r="F47" s="4">
        <v>1</v>
      </c>
    </row>
    <row r="48" spans="1:6" x14ac:dyDescent="0.25">
      <c r="A48" s="4" t="s">
        <v>1504</v>
      </c>
      <c r="B48" s="4" t="s">
        <v>650</v>
      </c>
      <c r="C48" s="4" t="s">
        <v>1505</v>
      </c>
      <c r="D48" s="4" t="s">
        <v>856</v>
      </c>
      <c r="E48" s="4"/>
      <c r="F48" s="4">
        <v>1</v>
      </c>
    </row>
    <row r="49" spans="1:6" x14ac:dyDescent="0.25">
      <c r="A49" s="4" t="s">
        <v>1506</v>
      </c>
      <c r="B49" s="4" t="s">
        <v>647</v>
      </c>
      <c r="C49" s="4" t="s">
        <v>1507</v>
      </c>
      <c r="D49" s="4" t="s">
        <v>856</v>
      </c>
      <c r="E49" s="4"/>
      <c r="F49" s="4">
        <v>1</v>
      </c>
    </row>
    <row r="50" spans="1:6" x14ac:dyDescent="0.25">
      <c r="A50" s="4" t="s">
        <v>1508</v>
      </c>
      <c r="B50" s="4" t="s">
        <v>644</v>
      </c>
      <c r="C50" s="4" t="s">
        <v>1509</v>
      </c>
      <c r="D50" s="4" t="s">
        <v>856</v>
      </c>
      <c r="E50" s="4"/>
      <c r="F50" s="4">
        <v>1</v>
      </c>
    </row>
    <row r="51" spans="1:6" x14ac:dyDescent="0.25">
      <c r="A51" s="4" t="s">
        <v>1510</v>
      </c>
      <c r="B51" s="4" t="s">
        <v>515</v>
      </c>
      <c r="C51" s="4" t="s">
        <v>1511</v>
      </c>
      <c r="D51" s="4" t="s">
        <v>858</v>
      </c>
      <c r="E51" s="4"/>
      <c r="F51" s="4">
        <v>2</v>
      </c>
    </row>
    <row r="52" spans="1:6" x14ac:dyDescent="0.25">
      <c r="A52" s="4" t="s">
        <v>1512</v>
      </c>
      <c r="B52" s="4" t="s">
        <v>518</v>
      </c>
      <c r="C52" s="4" t="s">
        <v>1513</v>
      </c>
      <c r="D52" s="4" t="s">
        <v>858</v>
      </c>
      <c r="E52" s="4"/>
      <c r="F52" s="4">
        <v>1</v>
      </c>
    </row>
    <row r="53" spans="1:6" x14ac:dyDescent="0.25">
      <c r="A53" s="4" t="s">
        <v>1514</v>
      </c>
      <c r="B53" s="4" t="s">
        <v>659</v>
      </c>
      <c r="C53" s="4" t="s">
        <v>1515</v>
      </c>
      <c r="D53" s="4" t="s">
        <v>859</v>
      </c>
      <c r="E53" s="4"/>
      <c r="F53" s="4">
        <v>1</v>
      </c>
    </row>
    <row r="54" spans="1:6" x14ac:dyDescent="0.25">
      <c r="A54" s="4" t="s">
        <v>1516</v>
      </c>
      <c r="B54" s="4" t="s">
        <v>662</v>
      </c>
      <c r="C54" s="4" t="s">
        <v>1517</v>
      </c>
      <c r="D54" s="4" t="s">
        <v>859</v>
      </c>
      <c r="E54" s="4"/>
      <c r="F54" s="4">
        <v>1</v>
      </c>
    </row>
    <row r="55" spans="1:6" x14ac:dyDescent="0.25">
      <c r="A55" s="4" t="s">
        <v>1518</v>
      </c>
      <c r="B55" s="4" t="s">
        <v>547</v>
      </c>
      <c r="C55" s="4" t="s">
        <v>1519</v>
      </c>
      <c r="D55" s="4" t="s">
        <v>860</v>
      </c>
      <c r="E55" s="4"/>
      <c r="F55" s="4">
        <v>1</v>
      </c>
    </row>
    <row r="56" spans="1:6" x14ac:dyDescent="0.25">
      <c r="A56" s="4" t="s">
        <v>1520</v>
      </c>
      <c r="B56" s="4" t="s">
        <v>550</v>
      </c>
      <c r="C56" s="4" t="s">
        <v>1521</v>
      </c>
      <c r="D56" s="4" t="s">
        <v>860</v>
      </c>
      <c r="E56" s="4"/>
      <c r="F56" s="4">
        <v>2</v>
      </c>
    </row>
    <row r="57" spans="1:6" x14ac:dyDescent="0.25">
      <c r="A57" s="4" t="s">
        <v>1522</v>
      </c>
      <c r="B57" s="4" t="s">
        <v>193</v>
      </c>
      <c r="C57" s="4" t="s">
        <v>1523</v>
      </c>
      <c r="D57" s="4" t="s">
        <v>1375</v>
      </c>
      <c r="E57" s="4"/>
      <c r="F57" s="4">
        <v>1</v>
      </c>
    </row>
    <row r="58" spans="1:6" x14ac:dyDescent="0.25">
      <c r="A58" s="4" t="s">
        <v>1524</v>
      </c>
      <c r="B58" s="4" t="s">
        <v>249</v>
      </c>
      <c r="C58" s="4" t="s">
        <v>1525</v>
      </c>
      <c r="D58" s="4" t="s">
        <v>863</v>
      </c>
      <c r="E58" s="4"/>
      <c r="F58" s="4">
        <v>1</v>
      </c>
    </row>
    <row r="59" spans="1:6" x14ac:dyDescent="0.25">
      <c r="A59" s="4" t="s">
        <v>1526</v>
      </c>
      <c r="B59" s="4" t="s">
        <v>28</v>
      </c>
      <c r="C59" s="4" t="s">
        <v>1527</v>
      </c>
      <c r="D59" s="4" t="s">
        <v>1376</v>
      </c>
      <c r="E59" s="4"/>
      <c r="F59" s="4">
        <v>1</v>
      </c>
    </row>
    <row r="60" spans="1:6" x14ac:dyDescent="0.25">
      <c r="A60" s="4" t="s">
        <v>1528</v>
      </c>
      <c r="B60" s="4" t="s">
        <v>118</v>
      </c>
      <c r="C60" s="4" t="s">
        <v>1529</v>
      </c>
      <c r="D60" s="4" t="s">
        <v>1377</v>
      </c>
      <c r="E60" s="4"/>
      <c r="F60" s="4">
        <v>1</v>
      </c>
    </row>
    <row r="61" spans="1:6" x14ac:dyDescent="0.25">
      <c r="A61" s="4" t="s">
        <v>1530</v>
      </c>
      <c r="B61" s="4" t="s">
        <v>71</v>
      </c>
      <c r="C61" s="4" t="s">
        <v>72</v>
      </c>
      <c r="D61" s="4" t="s">
        <v>1378</v>
      </c>
      <c r="E61" s="4"/>
      <c r="F61" s="4">
        <v>1</v>
      </c>
    </row>
    <row r="62" spans="1:6" x14ac:dyDescent="0.25">
      <c r="A62" s="4" t="s">
        <v>1531</v>
      </c>
      <c r="B62" s="4" t="s">
        <v>177</v>
      </c>
      <c r="C62" s="4" t="s">
        <v>178</v>
      </c>
      <c r="D62" s="4" t="s">
        <v>1379</v>
      </c>
      <c r="E62" s="4"/>
      <c r="F62" s="4">
        <v>1</v>
      </c>
    </row>
    <row r="63" spans="1:6" x14ac:dyDescent="0.25">
      <c r="A63" s="4" t="s">
        <v>1532</v>
      </c>
      <c r="B63" s="4" t="s">
        <v>83</v>
      </c>
      <c r="C63" s="4" t="s">
        <v>1533</v>
      </c>
      <c r="D63" s="4" t="s">
        <v>1380</v>
      </c>
      <c r="E63" s="4"/>
      <c r="F63" s="4">
        <v>1</v>
      </c>
    </row>
    <row r="64" spans="1:6" x14ac:dyDescent="0.25">
      <c r="A64" s="4" t="s">
        <v>1534</v>
      </c>
      <c r="B64" s="4" t="s">
        <v>133</v>
      </c>
      <c r="C64" s="4" t="s">
        <v>1535</v>
      </c>
      <c r="D64" s="4" t="s">
        <v>873</v>
      </c>
      <c r="E64" s="4"/>
      <c r="F64" s="4">
        <v>1</v>
      </c>
    </row>
    <row r="65" spans="1:6" x14ac:dyDescent="0.25">
      <c r="A65" s="4" t="s">
        <v>1536</v>
      </c>
      <c r="B65" s="4" t="s">
        <v>136</v>
      </c>
      <c r="C65" s="4" t="s">
        <v>1537</v>
      </c>
      <c r="D65" s="4" t="s">
        <v>1382</v>
      </c>
      <c r="E65" s="4"/>
      <c r="F65" s="4">
        <v>1</v>
      </c>
    </row>
    <row r="66" spans="1:6" x14ac:dyDescent="0.25">
      <c r="A66" s="4" t="s">
        <v>1538</v>
      </c>
      <c r="B66" s="4" t="s">
        <v>130</v>
      </c>
      <c r="C66" s="4" t="s">
        <v>131</v>
      </c>
      <c r="D66" s="4" t="s">
        <v>1381</v>
      </c>
      <c r="E66" s="4"/>
      <c r="F66" s="4">
        <v>2</v>
      </c>
    </row>
    <row r="67" spans="1:6" x14ac:dyDescent="0.25">
      <c r="A67" s="4" t="s">
        <v>1539</v>
      </c>
      <c r="B67" s="4" t="s">
        <v>139</v>
      </c>
      <c r="C67" s="4" t="s">
        <v>1540</v>
      </c>
      <c r="D67" s="4" t="s">
        <v>1383</v>
      </c>
      <c r="E67" s="4"/>
      <c r="F67" s="4">
        <v>3</v>
      </c>
    </row>
    <row r="68" spans="1:6" x14ac:dyDescent="0.25">
      <c r="A68" s="4" t="s">
        <v>1541</v>
      </c>
      <c r="B68" s="4" t="s">
        <v>40</v>
      </c>
      <c r="C68" s="4" t="s">
        <v>1542</v>
      </c>
      <c r="D68" s="4" t="s">
        <v>1384</v>
      </c>
      <c r="E68" s="4"/>
      <c r="F68" s="4">
        <v>1</v>
      </c>
    </row>
    <row r="69" spans="1:6" x14ac:dyDescent="0.25">
      <c r="A69" s="4" t="s">
        <v>1543</v>
      </c>
      <c r="B69" s="4" t="s">
        <v>43</v>
      </c>
      <c r="C69" s="4" t="s">
        <v>44</v>
      </c>
      <c r="D69" s="4" t="s">
        <v>1384</v>
      </c>
      <c r="E69" s="4"/>
      <c r="F69" s="4">
        <v>2</v>
      </c>
    </row>
    <row r="70" spans="1:6" x14ac:dyDescent="0.25">
      <c r="A70" s="4" t="s">
        <v>1544</v>
      </c>
      <c r="B70" s="4" t="s">
        <v>46</v>
      </c>
      <c r="C70" s="4" t="s">
        <v>47</v>
      </c>
      <c r="D70" s="4" t="s">
        <v>1384</v>
      </c>
      <c r="E70" s="4"/>
      <c r="F70" s="4">
        <v>3</v>
      </c>
    </row>
    <row r="71" spans="1:6" x14ac:dyDescent="0.25">
      <c r="A71" s="4" t="s">
        <v>1545</v>
      </c>
      <c r="B71" s="4" t="s">
        <v>31</v>
      </c>
      <c r="C71" s="4" t="s">
        <v>1546</v>
      </c>
      <c r="D71" s="4" t="s">
        <v>1385</v>
      </c>
      <c r="E71" s="4"/>
      <c r="F71" s="4">
        <v>2</v>
      </c>
    </row>
    <row r="72" spans="1:6" x14ac:dyDescent="0.25">
      <c r="A72" s="4" t="s">
        <v>1547</v>
      </c>
      <c r="B72" s="4" t="s">
        <v>34</v>
      </c>
      <c r="C72" s="4" t="s">
        <v>35</v>
      </c>
      <c r="D72" s="4" t="s">
        <v>1385</v>
      </c>
      <c r="E72" s="4"/>
      <c r="F72" s="4">
        <v>1</v>
      </c>
    </row>
    <row r="73" spans="1:6" x14ac:dyDescent="0.25">
      <c r="A73" s="4" t="s">
        <v>1548</v>
      </c>
      <c r="B73" s="4" t="s">
        <v>168</v>
      </c>
      <c r="C73" s="4" t="s">
        <v>1549</v>
      </c>
      <c r="D73" s="4" t="s">
        <v>1386</v>
      </c>
      <c r="E73" s="4"/>
      <c r="F73" s="4">
        <v>1</v>
      </c>
    </row>
    <row r="74" spans="1:6" x14ac:dyDescent="0.25">
      <c r="A74" s="4" t="s">
        <v>1550</v>
      </c>
      <c r="B74" s="4" t="s">
        <v>99</v>
      </c>
      <c r="C74" s="4" t="s">
        <v>1551</v>
      </c>
      <c r="D74" s="4" t="s">
        <v>1387</v>
      </c>
      <c r="E74" s="4"/>
      <c r="F74" s="4">
        <v>1</v>
      </c>
    </row>
    <row r="75" spans="1:6" x14ac:dyDescent="0.25">
      <c r="A75" s="4" t="s">
        <v>1552</v>
      </c>
      <c r="B75" s="4" t="s">
        <v>598</v>
      </c>
      <c r="C75" s="4" t="s">
        <v>1553</v>
      </c>
      <c r="D75" s="4" t="s">
        <v>880</v>
      </c>
      <c r="E75" s="4"/>
      <c r="F75" s="4">
        <v>2</v>
      </c>
    </row>
    <row r="76" spans="1:6" x14ac:dyDescent="0.25">
      <c r="A76" s="4" t="s">
        <v>1554</v>
      </c>
      <c r="B76" s="4" t="s">
        <v>595</v>
      </c>
      <c r="C76" s="4" t="s">
        <v>596</v>
      </c>
      <c r="D76" s="4" t="s">
        <v>880</v>
      </c>
      <c r="E76" s="4"/>
      <c r="F76" s="4">
        <v>1</v>
      </c>
    </row>
    <row r="77" spans="1:6" x14ac:dyDescent="0.25">
      <c r="A77" s="4" t="s">
        <v>1555</v>
      </c>
      <c r="B77" s="4" t="s">
        <v>126</v>
      </c>
      <c r="C77" s="4" t="s">
        <v>1556</v>
      </c>
      <c r="D77" s="4" t="s">
        <v>1388</v>
      </c>
      <c r="E77" s="4"/>
      <c r="F77" s="4">
        <v>2</v>
      </c>
    </row>
    <row r="78" spans="1:6" x14ac:dyDescent="0.25">
      <c r="A78" s="4" t="s">
        <v>1557</v>
      </c>
      <c r="B78" s="4" t="s">
        <v>122</v>
      </c>
      <c r="C78" s="4" t="s">
        <v>123</v>
      </c>
      <c r="D78" s="4" t="s">
        <v>1388</v>
      </c>
      <c r="E78" s="4"/>
      <c r="F78" s="4">
        <v>1</v>
      </c>
    </row>
    <row r="79" spans="1:6" x14ac:dyDescent="0.25">
      <c r="A79" s="4" t="s">
        <v>1558</v>
      </c>
      <c r="B79" s="4" t="s">
        <v>150</v>
      </c>
      <c r="C79" s="4" t="s">
        <v>1559</v>
      </c>
      <c r="D79" s="4" t="s">
        <v>1389</v>
      </c>
      <c r="E79" s="4"/>
      <c r="F79" s="4">
        <v>2</v>
      </c>
    </row>
    <row r="80" spans="1:6" x14ac:dyDescent="0.25">
      <c r="A80" s="4" t="s">
        <v>1560</v>
      </c>
      <c r="B80" s="4" t="s">
        <v>153</v>
      </c>
      <c r="C80" s="4" t="s">
        <v>154</v>
      </c>
      <c r="D80" s="4" t="s">
        <v>1389</v>
      </c>
      <c r="E80" s="4"/>
      <c r="F80" s="4">
        <v>1</v>
      </c>
    </row>
    <row r="81" spans="1:6" x14ac:dyDescent="0.25">
      <c r="A81" s="4" t="s">
        <v>1561</v>
      </c>
      <c r="B81" s="4" t="s">
        <v>53</v>
      </c>
      <c r="C81" s="4" t="s">
        <v>1562</v>
      </c>
      <c r="D81" s="4" t="s">
        <v>1390</v>
      </c>
      <c r="E81" s="4"/>
      <c r="F81" s="4">
        <v>1</v>
      </c>
    </row>
    <row r="82" spans="1:6" x14ac:dyDescent="0.25">
      <c r="A82" s="4" t="s">
        <v>1563</v>
      </c>
      <c r="B82" s="4" t="s">
        <v>50</v>
      </c>
      <c r="C82" s="4" t="s">
        <v>1564</v>
      </c>
      <c r="D82" s="4" t="s">
        <v>1390</v>
      </c>
      <c r="E82" s="4"/>
      <c r="F82" s="4">
        <v>2</v>
      </c>
    </row>
    <row r="83" spans="1:6" x14ac:dyDescent="0.25">
      <c r="A83" s="4" t="s">
        <v>1565</v>
      </c>
      <c r="B83" s="4" t="s">
        <v>222</v>
      </c>
      <c r="C83" s="4" t="s">
        <v>1566</v>
      </c>
      <c r="D83" s="4" t="s">
        <v>884</v>
      </c>
      <c r="E83" s="4"/>
      <c r="F83" s="4">
        <v>1</v>
      </c>
    </row>
    <row r="84" spans="1:6" x14ac:dyDescent="0.25">
      <c r="A84" s="4" t="s">
        <v>1567</v>
      </c>
      <c r="B84" s="4" t="s">
        <v>246</v>
      </c>
      <c r="C84" s="4" t="s">
        <v>1568</v>
      </c>
      <c r="D84" s="4" t="s">
        <v>1391</v>
      </c>
      <c r="E84" s="4"/>
      <c r="F84" s="4">
        <v>1</v>
      </c>
    </row>
    <row r="85" spans="1:6" x14ac:dyDescent="0.25">
      <c r="A85" s="4" t="s">
        <v>1569</v>
      </c>
      <c r="B85" s="4" t="s">
        <v>92</v>
      </c>
      <c r="C85" s="4" t="s">
        <v>1570</v>
      </c>
      <c r="D85" s="4" t="s">
        <v>1392</v>
      </c>
      <c r="E85" s="4"/>
      <c r="F85" s="4">
        <v>3</v>
      </c>
    </row>
    <row r="86" spans="1:6" x14ac:dyDescent="0.25">
      <c r="A86" s="4" t="s">
        <v>1571</v>
      </c>
      <c r="B86" s="4" t="s">
        <v>86</v>
      </c>
      <c r="C86" s="4" t="s">
        <v>87</v>
      </c>
      <c r="D86" s="4" t="s">
        <v>1392</v>
      </c>
      <c r="E86" s="4"/>
      <c r="F86" s="4">
        <v>1</v>
      </c>
    </row>
    <row r="87" spans="1:6" x14ac:dyDescent="0.25">
      <c r="A87" s="4" t="s">
        <v>1572</v>
      </c>
      <c r="B87" s="4" t="s">
        <v>89</v>
      </c>
      <c r="C87" s="4" t="s">
        <v>90</v>
      </c>
      <c r="D87" s="4" t="s">
        <v>1392</v>
      </c>
      <c r="E87" s="4"/>
      <c r="F87" s="4">
        <v>2</v>
      </c>
    </row>
    <row r="88" spans="1:6" x14ac:dyDescent="0.25">
      <c r="A88" s="4" t="s">
        <v>1573</v>
      </c>
      <c r="B88" s="4" t="s">
        <v>165</v>
      </c>
      <c r="C88" s="4" t="s">
        <v>1574</v>
      </c>
      <c r="D88" s="4" t="s">
        <v>1393</v>
      </c>
      <c r="E88" s="4"/>
      <c r="F88" s="4">
        <v>1</v>
      </c>
    </row>
    <row r="89" spans="1:6" x14ac:dyDescent="0.25">
      <c r="A89" s="4" t="s">
        <v>1575</v>
      </c>
      <c r="B89" s="4" t="s">
        <v>62</v>
      </c>
      <c r="C89" s="4" t="s">
        <v>1576</v>
      </c>
      <c r="D89" s="4" t="s">
        <v>1394</v>
      </c>
      <c r="E89" s="4"/>
      <c r="F89" s="4">
        <v>1</v>
      </c>
    </row>
    <row r="90" spans="1:6" x14ac:dyDescent="0.25">
      <c r="A90" s="4" t="s">
        <v>1577</v>
      </c>
      <c r="B90" s="4" t="s">
        <v>103</v>
      </c>
      <c r="C90" s="4" t="s">
        <v>1578</v>
      </c>
      <c r="D90" s="4" t="s">
        <v>1395</v>
      </c>
      <c r="E90" s="4"/>
      <c r="F90" s="4">
        <v>3</v>
      </c>
    </row>
    <row r="91" spans="1:6" x14ac:dyDescent="0.25">
      <c r="A91" s="4" t="s">
        <v>1579</v>
      </c>
      <c r="B91" s="4" t="s">
        <v>143</v>
      </c>
      <c r="C91" s="4" t="s">
        <v>1580</v>
      </c>
      <c r="D91" s="4" t="s">
        <v>1396</v>
      </c>
      <c r="E91" s="4"/>
      <c r="F91" s="4">
        <v>1</v>
      </c>
    </row>
    <row r="92" spans="1:6" x14ac:dyDescent="0.25">
      <c r="A92" s="4" t="s">
        <v>1581</v>
      </c>
      <c r="B92" s="4" t="s">
        <v>215</v>
      </c>
      <c r="C92" s="4" t="s">
        <v>1582</v>
      </c>
      <c r="D92" s="4" t="s">
        <v>893</v>
      </c>
      <c r="E92" s="4"/>
      <c r="F92" s="4">
        <v>2</v>
      </c>
    </row>
    <row r="93" spans="1:6" x14ac:dyDescent="0.25">
      <c r="A93" s="4" t="s">
        <v>1583</v>
      </c>
      <c r="B93" s="4" t="s">
        <v>218</v>
      </c>
      <c r="C93" s="4" t="s">
        <v>219</v>
      </c>
      <c r="D93" s="4" t="s">
        <v>893</v>
      </c>
      <c r="E93" s="4"/>
      <c r="F93" s="4">
        <v>1</v>
      </c>
    </row>
    <row r="94" spans="1:6" x14ac:dyDescent="0.25">
      <c r="A94" s="4" t="s">
        <v>1584</v>
      </c>
      <c r="B94" s="4" t="s">
        <v>504</v>
      </c>
      <c r="C94" s="4" t="s">
        <v>1585</v>
      </c>
      <c r="D94" s="4" t="s">
        <v>894</v>
      </c>
      <c r="E94" s="4"/>
      <c r="F94" s="4">
        <v>2</v>
      </c>
    </row>
    <row r="95" spans="1:6" x14ac:dyDescent="0.25">
      <c r="A95" s="4" t="s">
        <v>1586</v>
      </c>
      <c r="B95" s="4" t="s">
        <v>523</v>
      </c>
      <c r="C95" s="4" t="s">
        <v>1587</v>
      </c>
      <c r="D95" s="4" t="s">
        <v>895</v>
      </c>
      <c r="E95" s="4"/>
      <c r="F95" s="4">
        <v>1</v>
      </c>
    </row>
    <row r="96" spans="1:6" x14ac:dyDescent="0.25">
      <c r="A96" s="4" t="s">
        <v>1588</v>
      </c>
      <c r="B96" s="4" t="s">
        <v>383</v>
      </c>
      <c r="C96" s="4" t="s">
        <v>1589</v>
      </c>
      <c r="D96" s="4" t="s">
        <v>896</v>
      </c>
      <c r="E96" s="4"/>
      <c r="F96" s="4">
        <v>1</v>
      </c>
    </row>
    <row r="97" spans="1:6" x14ac:dyDescent="0.25">
      <c r="A97" s="4" t="s">
        <v>1590</v>
      </c>
      <c r="B97" s="4" t="s">
        <v>444</v>
      </c>
      <c r="C97" s="4" t="s">
        <v>1591</v>
      </c>
      <c r="D97" s="4" t="s">
        <v>897</v>
      </c>
      <c r="E97" s="4"/>
      <c r="F97" s="4">
        <v>1</v>
      </c>
    </row>
    <row r="98" spans="1:6" x14ac:dyDescent="0.25">
      <c r="A98" s="4" t="s">
        <v>1592</v>
      </c>
      <c r="B98" s="4" t="s">
        <v>578</v>
      </c>
      <c r="C98" s="4" t="s">
        <v>1593</v>
      </c>
      <c r="D98" s="4" t="s">
        <v>899</v>
      </c>
      <c r="E98" s="4"/>
      <c r="F98" s="4">
        <v>1</v>
      </c>
    </row>
    <row r="99" spans="1:6" x14ac:dyDescent="0.25">
      <c r="A99" s="4" t="s">
        <v>1594</v>
      </c>
      <c r="B99" s="4" t="s">
        <v>274</v>
      </c>
      <c r="C99" s="4" t="s">
        <v>1595</v>
      </c>
      <c r="D99" s="4" t="s">
        <v>900</v>
      </c>
      <c r="E99" s="4"/>
      <c r="F99" s="4">
        <v>1</v>
      </c>
    </row>
    <row r="100" spans="1:6" x14ac:dyDescent="0.25">
      <c r="A100" s="4" t="s">
        <v>1596</v>
      </c>
      <c r="B100" s="4" t="s">
        <v>571</v>
      </c>
      <c r="C100" s="4" t="s">
        <v>1597</v>
      </c>
      <c r="D100" s="4" t="s">
        <v>901</v>
      </c>
      <c r="E100" s="4"/>
      <c r="F100" s="4">
        <v>1</v>
      </c>
    </row>
    <row r="101" spans="1:6" x14ac:dyDescent="0.25">
      <c r="A101" s="4" t="s">
        <v>1598</v>
      </c>
      <c r="B101" s="4" t="s">
        <v>345</v>
      </c>
      <c r="C101" s="4" t="s">
        <v>1599</v>
      </c>
      <c r="D101" s="4" t="s">
        <v>902</v>
      </c>
      <c r="E101" s="4"/>
      <c r="F101" s="4">
        <v>1</v>
      </c>
    </row>
    <row r="102" spans="1:6" x14ac:dyDescent="0.25">
      <c r="A102" s="4" t="s">
        <v>1600</v>
      </c>
      <c r="B102" s="4" t="s">
        <v>7</v>
      </c>
      <c r="C102" s="4" t="s">
        <v>1601</v>
      </c>
      <c r="D102" s="4" t="s">
        <v>1397</v>
      </c>
      <c r="E102" s="4"/>
      <c r="F102" s="4">
        <v>1</v>
      </c>
    </row>
    <row r="103" spans="1:6" x14ac:dyDescent="0.25">
      <c r="A103" s="4" t="s">
        <v>1602</v>
      </c>
      <c r="B103" s="4" t="s">
        <v>74</v>
      </c>
      <c r="C103" s="4" t="s">
        <v>1603</v>
      </c>
      <c r="D103" s="4" t="s">
        <v>1398</v>
      </c>
      <c r="E103" s="4"/>
      <c r="F103" s="4">
        <v>1</v>
      </c>
    </row>
    <row r="104" spans="1:6" x14ac:dyDescent="0.25">
      <c r="A104" s="4" t="s">
        <v>1604</v>
      </c>
      <c r="B104" s="4" t="s">
        <v>633</v>
      </c>
      <c r="C104" s="4" t="s">
        <v>634</v>
      </c>
      <c r="D104" s="4" t="s">
        <v>905</v>
      </c>
      <c r="E104" s="4"/>
      <c r="F104" s="4">
        <v>1</v>
      </c>
    </row>
    <row r="105" spans="1:6" x14ac:dyDescent="0.25">
      <c r="A105" s="4" t="s">
        <v>1605</v>
      </c>
      <c r="B105" s="4" t="s">
        <v>489</v>
      </c>
      <c r="C105" s="4" t="s">
        <v>1606</v>
      </c>
      <c r="D105" s="4" t="s">
        <v>906</v>
      </c>
      <c r="E105" s="4"/>
      <c r="F105" s="4">
        <v>1</v>
      </c>
    </row>
    <row r="106" spans="1:6" x14ac:dyDescent="0.25">
      <c r="A106" s="4" t="s">
        <v>1607</v>
      </c>
      <c r="B106" s="4" t="s">
        <v>198</v>
      </c>
      <c r="C106" s="4" t="s">
        <v>1608</v>
      </c>
      <c r="D106" s="4" t="s">
        <v>1399</v>
      </c>
      <c r="E106" s="4"/>
      <c r="F106" s="4">
        <v>1</v>
      </c>
    </row>
    <row r="107" spans="1:6" x14ac:dyDescent="0.25">
      <c r="A107" s="4" t="s">
        <v>1609</v>
      </c>
      <c r="B107" s="4" t="s">
        <v>292</v>
      </c>
      <c r="C107" s="4" t="s">
        <v>293</v>
      </c>
      <c r="D107" s="4" t="s">
        <v>909</v>
      </c>
      <c r="E107" s="4"/>
      <c r="F107" s="4">
        <v>1</v>
      </c>
    </row>
    <row r="108" spans="1:6" x14ac:dyDescent="0.25">
      <c r="A108" s="4" t="s">
        <v>1610</v>
      </c>
      <c r="B108" s="4" t="s">
        <v>321</v>
      </c>
      <c r="C108" s="4" t="s">
        <v>1611</v>
      </c>
      <c r="D108" s="4" t="s">
        <v>911</v>
      </c>
      <c r="E108" s="4"/>
      <c r="F108" s="4">
        <v>1</v>
      </c>
    </row>
    <row r="109" spans="1:6" x14ac:dyDescent="0.25">
      <c r="A109" s="4" t="s">
        <v>1612</v>
      </c>
      <c r="B109" s="4" t="s">
        <v>19</v>
      </c>
      <c r="C109" s="4" t="s">
        <v>1613</v>
      </c>
      <c r="D109" s="4" t="s">
        <v>1400</v>
      </c>
      <c r="E109" s="4"/>
      <c r="F109" s="4">
        <v>1</v>
      </c>
    </row>
    <row r="110" spans="1:6" x14ac:dyDescent="0.25">
      <c r="A110" s="4" t="s">
        <v>1614</v>
      </c>
      <c r="B110" s="4" t="s">
        <v>22</v>
      </c>
      <c r="C110" s="4" t="s">
        <v>1615</v>
      </c>
      <c r="D110" s="4" t="s">
        <v>1401</v>
      </c>
      <c r="E110" s="4"/>
      <c r="F110" s="4">
        <v>2</v>
      </c>
    </row>
    <row r="111" spans="1:6" x14ac:dyDescent="0.25">
      <c r="A111" s="4" t="s">
        <v>1616</v>
      </c>
      <c r="B111" s="4" t="s">
        <v>1185</v>
      </c>
      <c r="C111" s="4" t="s">
        <v>1617</v>
      </c>
      <c r="D111" s="4" t="s">
        <v>1401</v>
      </c>
      <c r="E111" s="4"/>
      <c r="F111" s="4">
        <v>1</v>
      </c>
    </row>
    <row r="112" spans="1:6" x14ac:dyDescent="0.25">
      <c r="A112" s="4" t="s">
        <v>1618</v>
      </c>
      <c r="B112" s="4" t="s">
        <v>184</v>
      </c>
      <c r="C112" s="4" t="s">
        <v>1619</v>
      </c>
      <c r="D112" s="4" t="s">
        <v>1402</v>
      </c>
      <c r="E112" s="4"/>
      <c r="F112" s="4">
        <v>1</v>
      </c>
    </row>
    <row r="113" spans="1:6" x14ac:dyDescent="0.25">
      <c r="A113" s="4" t="s">
        <v>1620</v>
      </c>
      <c r="B113" s="4" t="s">
        <v>15</v>
      </c>
      <c r="C113" s="4" t="s">
        <v>16</v>
      </c>
      <c r="D113" s="4" t="s">
        <v>1403</v>
      </c>
      <c r="E113" s="4"/>
      <c r="F113" s="4">
        <v>1</v>
      </c>
    </row>
    <row r="114" spans="1:6" x14ac:dyDescent="0.25">
      <c r="A114" s="4" t="s">
        <v>1621</v>
      </c>
      <c r="B114" s="4" t="s">
        <v>12</v>
      </c>
      <c r="C114" s="4" t="s">
        <v>1622</v>
      </c>
      <c r="D114" s="4" t="s">
        <v>1403</v>
      </c>
      <c r="E114" s="4"/>
      <c r="F114" s="4">
        <v>2</v>
      </c>
    </row>
    <row r="115" spans="1:6" x14ac:dyDescent="0.25">
      <c r="A115" s="4" t="s">
        <v>1623</v>
      </c>
      <c r="B115" s="4" t="s">
        <v>188</v>
      </c>
      <c r="C115" s="4" t="s">
        <v>1624</v>
      </c>
      <c r="D115" s="4" t="s">
        <v>1404</v>
      </c>
      <c r="E115" s="4"/>
      <c r="F115" s="4">
        <v>1</v>
      </c>
    </row>
    <row r="116" spans="1:6" x14ac:dyDescent="0.25">
      <c r="A116" s="4" t="s">
        <v>1625</v>
      </c>
      <c r="B116" s="4" t="s">
        <v>67</v>
      </c>
      <c r="C116" s="4" t="s">
        <v>1626</v>
      </c>
      <c r="D116" s="4" t="s">
        <v>1405</v>
      </c>
      <c r="E116" s="4"/>
      <c r="F116" s="4">
        <v>2</v>
      </c>
    </row>
    <row r="117" spans="1:6" x14ac:dyDescent="0.25">
      <c r="A117" s="4" t="s">
        <v>1627</v>
      </c>
      <c r="B117" s="4" t="s">
        <v>310</v>
      </c>
      <c r="C117" s="4" t="s">
        <v>1628</v>
      </c>
      <c r="D117" s="4" t="s">
        <v>1406</v>
      </c>
      <c r="E117" s="4"/>
      <c r="F117" s="4">
        <v>1</v>
      </c>
    </row>
    <row r="118" spans="1:6" x14ac:dyDescent="0.25">
      <c r="A118" s="4" t="s">
        <v>1629</v>
      </c>
      <c r="B118" s="4" t="s">
        <v>307</v>
      </c>
      <c r="C118" s="4" t="s">
        <v>1630</v>
      </c>
      <c r="D118" s="4" t="s">
        <v>1406</v>
      </c>
      <c r="E118" s="4"/>
      <c r="F118" s="4">
        <v>2</v>
      </c>
    </row>
    <row r="119" spans="1:6" x14ac:dyDescent="0.25">
      <c r="A119" s="4" t="s">
        <v>1631</v>
      </c>
      <c r="B119" s="4" t="s">
        <v>313</v>
      </c>
      <c r="C119" s="4" t="s">
        <v>1632</v>
      </c>
      <c r="D119" s="4" t="s">
        <v>1406</v>
      </c>
      <c r="E119" s="4"/>
      <c r="F119" s="4">
        <v>3</v>
      </c>
    </row>
    <row r="120" spans="1:6" x14ac:dyDescent="0.25">
      <c r="A120" s="4" t="s">
        <v>1633</v>
      </c>
      <c r="B120" s="4" t="s">
        <v>146</v>
      </c>
      <c r="C120" s="4" t="s">
        <v>1634</v>
      </c>
      <c r="D120" s="4" t="s">
        <v>1407</v>
      </c>
      <c r="E120" s="4"/>
      <c r="F120" s="4">
        <v>1</v>
      </c>
    </row>
    <row r="121" spans="1:6" x14ac:dyDescent="0.25">
      <c r="A121" s="4" t="s">
        <v>1635</v>
      </c>
      <c r="B121" s="4" t="s">
        <v>300</v>
      </c>
      <c r="C121" s="4" t="s">
        <v>1636</v>
      </c>
      <c r="D121" s="4" t="s">
        <v>948</v>
      </c>
      <c r="E121" s="4"/>
      <c r="F121" s="4">
        <v>1</v>
      </c>
    </row>
    <row r="122" spans="1:6" x14ac:dyDescent="0.25">
      <c r="A122" s="4" t="s">
        <v>1637</v>
      </c>
      <c r="B122" s="4" t="s">
        <v>338</v>
      </c>
      <c r="C122" s="4" t="s">
        <v>339</v>
      </c>
      <c r="D122" s="4" t="s">
        <v>1408</v>
      </c>
      <c r="E122" s="4"/>
      <c r="F122" s="4">
        <v>1</v>
      </c>
    </row>
    <row r="123" spans="1:6" x14ac:dyDescent="0.25">
      <c r="A123" s="4" t="s">
        <v>1638</v>
      </c>
      <c r="B123" s="4" t="s">
        <v>590</v>
      </c>
      <c r="C123" s="4" t="s">
        <v>1639</v>
      </c>
      <c r="D123" s="4" t="s">
        <v>954</v>
      </c>
      <c r="E123" s="4"/>
      <c r="F123" s="4">
        <v>1</v>
      </c>
    </row>
    <row r="124" spans="1:6" x14ac:dyDescent="0.25">
      <c r="A124" s="4" t="s">
        <v>1640</v>
      </c>
      <c r="B124" s="4" t="s">
        <v>536</v>
      </c>
      <c r="C124" s="4" t="s">
        <v>537</v>
      </c>
      <c r="D124" s="4" t="s">
        <v>1409</v>
      </c>
      <c r="E124" s="4"/>
      <c r="F124" s="4">
        <v>1</v>
      </c>
    </row>
    <row r="125" spans="1:6" x14ac:dyDescent="0.25">
      <c r="A125" s="4" t="s">
        <v>1641</v>
      </c>
      <c r="B125" s="4" t="s">
        <v>158</v>
      </c>
      <c r="C125" s="4" t="s">
        <v>1642</v>
      </c>
      <c r="D125" s="4" t="s">
        <v>1410</v>
      </c>
      <c r="E125" s="4"/>
      <c r="F125" s="4">
        <v>1</v>
      </c>
    </row>
    <row r="126" spans="1:6" x14ac:dyDescent="0.25">
      <c r="A126" s="4" t="s">
        <v>1643</v>
      </c>
      <c r="B126" s="4" t="s">
        <v>37</v>
      </c>
      <c r="C126" s="4" t="s">
        <v>1644</v>
      </c>
      <c r="D126" s="4" t="s">
        <v>1411</v>
      </c>
      <c r="E126" s="4"/>
      <c r="F126" s="4">
        <v>1</v>
      </c>
    </row>
    <row r="127" spans="1:6" x14ac:dyDescent="0.25">
      <c r="A127" s="4" t="s">
        <v>1645</v>
      </c>
      <c r="B127" s="4" t="s">
        <v>413</v>
      </c>
      <c r="C127" s="4" t="s">
        <v>1646</v>
      </c>
      <c r="D127" s="4" t="s">
        <v>961</v>
      </c>
      <c r="E127" s="4"/>
      <c r="F127" s="4">
        <v>1</v>
      </c>
    </row>
    <row r="128" spans="1:6" x14ac:dyDescent="0.25">
      <c r="A128" s="4" t="s">
        <v>1647</v>
      </c>
      <c r="B128" s="4" t="s">
        <v>107</v>
      </c>
      <c r="C128" s="4" t="s">
        <v>1648</v>
      </c>
      <c r="D128" s="4" t="s">
        <v>1368</v>
      </c>
      <c r="E128" s="4"/>
      <c r="F128" s="4">
        <v>1</v>
      </c>
    </row>
    <row r="129" spans="1:6" x14ac:dyDescent="0.25">
      <c r="A129" s="4" t="s">
        <v>1649</v>
      </c>
      <c r="B129" s="4" t="s">
        <v>228</v>
      </c>
      <c r="C129" s="4" t="s">
        <v>1650</v>
      </c>
      <c r="D129" s="4" t="s">
        <v>1651</v>
      </c>
      <c r="E129" s="4"/>
      <c r="F129" s="4">
        <v>1</v>
      </c>
    </row>
    <row r="130" spans="1:6" x14ac:dyDescent="0.25">
      <c r="A130" s="4" t="s">
        <v>1652</v>
      </c>
      <c r="B130" s="4" t="s">
        <v>263</v>
      </c>
      <c r="C130" s="4" t="s">
        <v>1653</v>
      </c>
      <c r="D130" s="4" t="s">
        <v>963</v>
      </c>
      <c r="E130" s="4"/>
      <c r="F130" s="4">
        <v>1</v>
      </c>
    </row>
    <row r="131" spans="1:6" x14ac:dyDescent="0.25">
      <c r="A131" s="4" t="s">
        <v>1654</v>
      </c>
      <c r="B131" s="4" t="s">
        <v>458</v>
      </c>
      <c r="C131" s="4" t="s">
        <v>1655</v>
      </c>
      <c r="D131" s="4" t="s">
        <v>964</v>
      </c>
      <c r="E131" s="4"/>
      <c r="F131" s="4">
        <v>1</v>
      </c>
    </row>
    <row r="132" spans="1:6" x14ac:dyDescent="0.25">
      <c r="A132" s="4" t="s">
        <v>1656</v>
      </c>
      <c r="B132" s="4" t="s">
        <v>611</v>
      </c>
      <c r="C132" s="4" t="s">
        <v>1657</v>
      </c>
      <c r="D132" s="4" t="s">
        <v>965</v>
      </c>
      <c r="E132" s="4"/>
      <c r="F132" s="4">
        <v>1</v>
      </c>
    </row>
    <row r="133" spans="1:6" x14ac:dyDescent="0.25">
      <c r="A133" s="4" t="s">
        <v>1658</v>
      </c>
      <c r="B133" s="4" t="s">
        <v>608</v>
      </c>
      <c r="C133" s="4" t="s">
        <v>1659</v>
      </c>
      <c r="D133" s="4" t="s">
        <v>966</v>
      </c>
      <c r="E133" s="4"/>
      <c r="F133" s="4">
        <v>1</v>
      </c>
    </row>
    <row r="134" spans="1:6" x14ac:dyDescent="0.25">
      <c r="A134" s="4" t="s">
        <v>1660</v>
      </c>
      <c r="B134" s="4" t="s">
        <v>614</v>
      </c>
      <c r="C134" s="4" t="s">
        <v>1661</v>
      </c>
      <c r="D134" s="4" t="s">
        <v>967</v>
      </c>
      <c r="E134" s="4"/>
      <c r="F134" s="4">
        <v>3</v>
      </c>
    </row>
    <row r="135" spans="1:6" x14ac:dyDescent="0.25">
      <c r="A135" s="4" t="s">
        <v>1662</v>
      </c>
      <c r="B135" s="4" t="s">
        <v>624</v>
      </c>
      <c r="C135" s="4" t="s">
        <v>625</v>
      </c>
      <c r="D135" s="4" t="s">
        <v>968</v>
      </c>
      <c r="E135" s="4"/>
      <c r="F135" s="4">
        <v>1</v>
      </c>
    </row>
    <row r="136" spans="1:6" x14ac:dyDescent="0.25">
      <c r="A136" s="4" t="s">
        <v>1663</v>
      </c>
      <c r="B136" s="4" t="s">
        <v>203</v>
      </c>
      <c r="C136" s="4" t="s">
        <v>1664</v>
      </c>
      <c r="D136" s="4" t="s">
        <v>969</v>
      </c>
      <c r="E136" s="4"/>
      <c r="F136" s="4">
        <v>1</v>
      </c>
    </row>
    <row r="137" spans="1:6" x14ac:dyDescent="0.25">
      <c r="A137" s="4" t="s">
        <v>1665</v>
      </c>
      <c r="B137" s="4" t="s">
        <v>318</v>
      </c>
      <c r="C137" s="4" t="s">
        <v>319</v>
      </c>
      <c r="D137" s="4" t="s">
        <v>970</v>
      </c>
      <c r="E137" s="4"/>
      <c r="F137" s="4">
        <v>1</v>
      </c>
    </row>
    <row r="138" spans="1:6" x14ac:dyDescent="0.25">
      <c r="A138" s="4" t="s">
        <v>1666</v>
      </c>
      <c r="B138" s="4" t="s">
        <v>468</v>
      </c>
      <c r="C138" s="4" t="s">
        <v>469</v>
      </c>
      <c r="D138" s="4" t="s">
        <v>971</v>
      </c>
      <c r="E138" s="4"/>
      <c r="F138" s="4">
        <v>1</v>
      </c>
    </row>
    <row r="139" spans="1:6" x14ac:dyDescent="0.25">
      <c r="A139" s="4" t="s">
        <v>1667</v>
      </c>
      <c r="B139" s="4" t="s">
        <v>253</v>
      </c>
      <c r="C139" s="4" t="s">
        <v>1668</v>
      </c>
      <c r="D139" s="4" t="s">
        <v>972</v>
      </c>
      <c r="E139" s="4"/>
      <c r="F139" s="4">
        <v>1</v>
      </c>
    </row>
    <row r="140" spans="1:6" x14ac:dyDescent="0.25">
      <c r="A140" s="4" t="s">
        <v>1669</v>
      </c>
      <c r="B140" s="4" t="s">
        <v>640</v>
      </c>
      <c r="C140" s="4" t="s">
        <v>1670</v>
      </c>
      <c r="D140" s="4" t="s">
        <v>973</v>
      </c>
      <c r="E140" s="4"/>
      <c r="F140" s="4">
        <v>1</v>
      </c>
    </row>
    <row r="141" spans="1:6" x14ac:dyDescent="0.25">
      <c r="A141" s="4" t="s">
        <v>1671</v>
      </c>
      <c r="B141" s="4" t="s">
        <v>1123</v>
      </c>
      <c r="C141" s="4" t="s">
        <v>1672</v>
      </c>
      <c r="D141" s="4" t="s">
        <v>1412</v>
      </c>
      <c r="E141" s="4"/>
      <c r="F141" s="4">
        <v>2</v>
      </c>
    </row>
    <row r="142" spans="1:6" x14ac:dyDescent="0.25">
      <c r="A142" s="4" t="s">
        <v>1673</v>
      </c>
      <c r="B142" s="4" t="s">
        <v>374</v>
      </c>
      <c r="C142" s="4" t="s">
        <v>1674</v>
      </c>
      <c r="D142" s="4" t="s">
        <v>1413</v>
      </c>
      <c r="E142" s="4"/>
      <c r="F142" s="4">
        <v>1</v>
      </c>
    </row>
    <row r="143" spans="1:6" x14ac:dyDescent="0.25">
      <c r="A143" s="4" t="s">
        <v>1675</v>
      </c>
      <c r="B143" s="4" t="s">
        <v>1121</v>
      </c>
      <c r="C143" s="4" t="s">
        <v>1676</v>
      </c>
      <c r="D143" s="4" t="s">
        <v>1414</v>
      </c>
      <c r="E143" s="4"/>
      <c r="F143" s="4">
        <v>2</v>
      </c>
    </row>
    <row r="144" spans="1:6" x14ac:dyDescent="0.25">
      <c r="A144" s="4" t="s">
        <v>1677</v>
      </c>
      <c r="B144" s="4" t="s">
        <v>380</v>
      </c>
      <c r="C144" s="4" t="s">
        <v>1678</v>
      </c>
      <c r="D144" s="4" t="s">
        <v>1415</v>
      </c>
      <c r="E144" s="4"/>
      <c r="F144" s="4">
        <v>1</v>
      </c>
    </row>
    <row r="145" spans="1:6" x14ac:dyDescent="0.25">
      <c r="A145" s="4" t="s">
        <v>1679</v>
      </c>
      <c r="B145" s="4" t="s">
        <v>1115</v>
      </c>
      <c r="C145" s="4" t="s">
        <v>1680</v>
      </c>
      <c r="D145" s="4" t="s">
        <v>1681</v>
      </c>
      <c r="E145" s="4"/>
      <c r="F145" s="4">
        <v>2</v>
      </c>
    </row>
    <row r="146" spans="1:6" x14ac:dyDescent="0.25">
      <c r="A146" s="4" t="s">
        <v>1682</v>
      </c>
      <c r="B146" s="4" t="s">
        <v>1416</v>
      </c>
      <c r="C146" s="4" t="s">
        <v>1683</v>
      </c>
      <c r="D146" s="4" t="s">
        <v>1684</v>
      </c>
      <c r="E146" s="4"/>
      <c r="F146" s="4">
        <v>1</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手順</vt:lpstr>
      <vt:lpstr>キーワード精査ルール</vt:lpstr>
      <vt:lpstr>output.tsv貼り付け</vt:lpstr>
      <vt:lpstr>キーワード重複確認</vt:lpstr>
      <vt:lpstr>advertisement.tsv編集</vt:lpstr>
      <vt:lpstr>おしらせ表示順</vt:lpstr>
      <vt:lpstr>「検索連動型お知らせ機能」設定内容（本番）</vt:lpstr>
      <vt:lpstr>「検索連動型お知らせ機能」設定内容（検証）</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中垣内　友貴</dc:creator>
  <cp:lastModifiedBy>中垣内　友貴</cp:lastModifiedBy>
  <dcterms:created xsi:type="dcterms:W3CDTF">2023-11-17T07:56:45Z</dcterms:created>
  <dcterms:modified xsi:type="dcterms:W3CDTF">2024-02-02T09:06:37Z</dcterms:modified>
</cp:coreProperties>
</file>